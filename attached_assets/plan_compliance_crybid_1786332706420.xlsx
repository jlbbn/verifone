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8_{7FF8AFEA-890F-5C4A-9F82-FA85B684B34B}" xr6:coauthVersionLast="47" xr6:coauthVersionMax="47" xr10:uidLastSave="{00000000-0000-0000-0000-000000000000}"/>
  <bookViews>
    <workbookView xWindow="0" yWindow="0" windowWidth="16384" windowHeight="8192" tabRatio="500" activeTab="4" xr2:uid="{00000000-000D-0000-FFFF-FFFF00000000}"/>
  </bookViews>
  <sheets>
    <sheet name="Resumen Ejecutivo" sheetId="1" r:id="rId1"/>
    <sheet name="Presupuesto Detallado" sheetId="2" r:id="rId2"/>
    <sheet name="Plan por Etapas" sheetId="3" r:id="rId3"/>
    <sheet name="Riesgos" sheetId="4" r:id="rId4"/>
    <sheet name="Rutas de Salida" sheetId="5" r:id="rId5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4" l="1"/>
  <c r="G17" i="4"/>
  <c r="F16" i="4"/>
  <c r="G16" i="4"/>
  <c r="F15" i="4"/>
  <c r="G15" i="4"/>
  <c r="F14" i="4"/>
  <c r="G14" i="4"/>
  <c r="F13" i="4"/>
  <c r="G13" i="4"/>
  <c r="F12" i="4"/>
  <c r="G12" i="4"/>
  <c r="F11" i="4"/>
  <c r="G11" i="4"/>
  <c r="F10" i="4"/>
  <c r="G10" i="4"/>
  <c r="F9" i="4"/>
  <c r="G9" i="4"/>
  <c r="F8" i="4"/>
  <c r="G8" i="4"/>
  <c r="F7" i="4"/>
  <c r="G7" i="4"/>
  <c r="F6" i="4"/>
  <c r="G6" i="4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E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G25" i="2"/>
  <c r="C34" i="2"/>
  <c r="G21" i="2"/>
  <c r="G22" i="2"/>
  <c r="G23" i="2"/>
  <c r="G24" i="2"/>
  <c r="C33" i="2"/>
  <c r="G17" i="2"/>
  <c r="G18" i="2"/>
  <c r="G19" i="2"/>
  <c r="G20" i="2"/>
  <c r="C32" i="2"/>
  <c r="G13" i="2"/>
  <c r="G14" i="2"/>
  <c r="G15" i="2"/>
  <c r="G16" i="2"/>
  <c r="C31" i="2"/>
  <c r="G9" i="2"/>
  <c r="G10" i="2"/>
  <c r="G11" i="2"/>
  <c r="G12" i="2"/>
  <c r="C30" i="2"/>
  <c r="G6" i="2"/>
  <c r="G7" i="2"/>
  <c r="G8" i="2"/>
  <c r="C29" i="2"/>
  <c r="G26" i="2"/>
  <c r="C14" i="1"/>
  <c r="C15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<sst xmlns="http://schemas.openxmlformats.org/spreadsheetml/2006/main" count="411" uniqueCount="249">
  <si>
    <t>Plan de Implementación de Controles de Compliance</t>
  </si>
  <si>
    <t>Migración de infraestructura a DigitalOcean — Banxico Plus LLC</t>
  </si>
  <si>
    <t>RESUMEN DE PRESUPUESTO</t>
  </si>
  <si>
    <t>Etapa</t>
  </si>
  <si>
    <t>Costo asignado</t>
  </si>
  <si>
    <t>% del presupuesto</t>
  </si>
  <si>
    <t>Duración (semanas)</t>
  </si>
  <si>
    <t>Nivel de riesgo</t>
  </si>
  <si>
    <t>1. Aislamiento de red (VPC)</t>
  </si>
  <si>
    <t>Bajo</t>
  </si>
  <si>
    <t>2. WAF + hardening SSH</t>
  </si>
  <si>
    <t>Medio</t>
  </si>
  <si>
    <t>3. SAST en CI/CD</t>
  </si>
  <si>
    <t>4. SIEM inmutable</t>
  </si>
  <si>
    <t>Alto</t>
  </si>
  <si>
    <t>5. Tokenización / masking PII</t>
  </si>
  <si>
    <t>6. Contingencia general</t>
  </si>
  <si>
    <t>N/A</t>
  </si>
  <si>
    <t>TOTAL</t>
  </si>
  <si>
    <t>Verificación vs. presupuesto base de $2,000</t>
  </si>
  <si>
    <t>KPIs GLOBALES DEL PROYECTO</t>
  </si>
  <si>
    <t>KPI</t>
  </si>
  <si>
    <t>Meta</t>
  </si>
  <si>
    <t>Fórmula / cómo se mide</t>
  </si>
  <si>
    <t>Frecuencia</t>
  </si>
  <si>
    <t>% de controles cerrados</t>
  </si>
  <si>
    <t>Etapas 'Completado' / Total etapas (ver hoja Plan por Etapas)</t>
  </si>
  <si>
    <t>Semanal</t>
  </si>
  <si>
    <t>Desviación de presupuesto (%)</t>
  </si>
  <si>
    <t>≤ 10%</t>
  </si>
  <si>
    <t>(Gastado − Presupuestado) / Presupuestado</t>
  </si>
  <si>
    <t>Quincenal</t>
  </si>
  <si>
    <t>Desviación de cronograma (%)</t>
  </si>
  <si>
    <t>≤ 15%</t>
  </si>
  <si>
    <t>(Real − Estimado) / Estimado, por etapa</t>
  </si>
  <si>
    <t>Vulnerabilidades críticas SAST abiertas</t>
  </si>
  <si>
    <t>0 antes de producción</t>
  </si>
  <si>
    <t>Reporte del pipeline CI/CD</t>
  </si>
  <si>
    <t>Por cada deploy</t>
  </si>
  <si>
    <t>Cobertura de campos PII tokenizados</t>
  </si>
  <si>
    <t>100% de campos sensibles</t>
  </si>
  <si>
    <t>Campos tokenizados / Campos PII identificados</t>
  </si>
  <si>
    <t>Al cierre de Etapa 5</t>
  </si>
  <si>
    <t>Tiempo medio de detección (MTTD) SIEM</t>
  </si>
  <si>
    <t>&lt; 15 min en alertas críticas</t>
  </si>
  <si>
    <t>Timestamp alerta − Timestamp evento</t>
  </si>
  <si>
    <t>Continuo, post Etapa 4</t>
  </si>
  <si>
    <t>Accesos SSH no autorizados bloqueados</t>
  </si>
  <si>
    <t>100%</t>
  </si>
  <si>
    <t>Log de intentos rechazados / Total intentos</t>
  </si>
  <si>
    <t>Continuo</t>
  </si>
  <si>
    <t>Nota: el presupuesto de $2,000 cubre infraestructura y herramientas de las etapas 1-5 a 3 meses; no incluye horas de desarrollo interno, que se estiman por separado en la hoja 'Plan por Etapas'.</t>
  </si>
  <si>
    <t>Presupuesto Detallado por Línea de Partida</t>
  </si>
  <si>
    <t>Celdas en azul = valores de entrada (editables). Columnas en negro = fórmulas.</t>
  </si>
  <si>
    <t>Línea de partida</t>
  </si>
  <si>
    <t>Tipo</t>
  </si>
  <si>
    <t>Costo unitario ($)</t>
  </si>
  <si>
    <t>Meses/Unidades</t>
  </si>
  <si>
    <t>Costo total ($)</t>
  </si>
  <si>
    <t>Proveedor / fuente</t>
  </si>
  <si>
    <t>Base de datos gestionada en VPC privada (sin IP pública)</t>
  </si>
  <si>
    <t>Recurrente</t>
  </si>
  <si>
    <t>DigitalOcean (incluido en Managed DB)</t>
  </si>
  <si>
    <t>Droplet temporal de pruebas de conectividad</t>
  </si>
  <si>
    <t>DigitalOcean Droplet</t>
  </si>
  <si>
    <t>Buffer: pruebas de failover y validación de red</t>
  </si>
  <si>
    <t>Único</t>
  </si>
  <si>
    <t>Interno / reserva</t>
  </si>
  <si>
    <t>Cloudflare Pro (WAF gestionado, reglas OWASP)</t>
  </si>
  <si>
    <t>Cloudflare</t>
  </si>
  <si>
    <t>Droplet bastion para acceso SSH controlado</t>
  </si>
  <si>
    <t>Rotación de llaves + fail2ban (config)</t>
  </si>
  <si>
    <t>Interno (sin costo directo)</t>
  </si>
  <si>
    <t>Buffer: prueba de penetración básica externa</t>
  </si>
  <si>
    <t>Freelancer / reserva</t>
  </si>
  <si>
    <t>GitHub Actions (minutos incluidos en plan actual)</t>
  </si>
  <si>
    <t>GitHub</t>
  </si>
  <si>
    <t>Semgrep OSS (reglas de análisis estático)</t>
  </si>
  <si>
    <t>Semgrep (open source)</t>
  </si>
  <si>
    <t>Snyk Free Tier (escaneo de dependencias)</t>
  </si>
  <si>
    <t>Snyk</t>
  </si>
  <si>
    <t>Buffer: ajuste de pipeline y gating de despliegue</t>
  </si>
  <si>
    <t>Droplet Wazuh manager (4GB) para SIEM</t>
  </si>
  <si>
    <t>DigitalOcean Spaces con Object Lock (almacenamiento inmutable)</t>
  </si>
  <si>
    <t>DigitalOcean Spaces</t>
  </si>
  <si>
    <t>Configuración de alertas (webhook Slack/email)</t>
  </si>
  <si>
    <t>Buffer: ajuste de reglas de correlación / consultor puntual</t>
  </si>
  <si>
    <t>Reserva / consultor externo</t>
  </si>
  <si>
    <t>Librería open-source de tokenización (self-hosted)</t>
  </si>
  <si>
    <t>Open source</t>
  </si>
  <si>
    <t>Droplet adicional de desarrollo/pruebas</t>
  </si>
  <si>
    <t>Auditoría interna de campos sensibles en BD</t>
  </si>
  <si>
    <t>Buffer: respaldo con vault gestionado de bajo costo</t>
  </si>
  <si>
    <t>Reserva</t>
  </si>
  <si>
    <t>Reserva de contingencia (15% del presupuesto)</t>
  </si>
  <si>
    <t>Reserva del proyecto</t>
  </si>
  <si>
    <t>TOTAL GENERAL</t>
  </si>
  <si>
    <t>SUBTOTAL POR ETAPA (verificación cruzada con Resumen Ejecutivo)</t>
  </si>
  <si>
    <t>Plan Superdesglosado por Etapa y Tarea</t>
  </si>
  <si>
    <t>Horas estimadas x tasa interna de referencia = costo de horas (informativo, no forma parte del efectivo de $2,000). Estado y % avance son editables.</t>
  </si>
  <si>
    <t>Tasa de estimación interna (USD/hora, referencia):</t>
  </si>
  <si>
    <t>(valor de referencia para dimensionar esfuerzo; no es gasto en efectivo del presupuesto)</t>
  </si>
  <si>
    <t>#</t>
  </si>
  <si>
    <t>Tarea</t>
  </si>
  <si>
    <t>Horas est.</t>
  </si>
  <si>
    <t>Costo horas (ref.)</t>
  </si>
  <si>
    <t>Semana</t>
  </si>
  <si>
    <t>% del total etapa</t>
  </si>
  <si>
    <t>Estado</t>
  </si>
  <si>
    <t>% avance</t>
  </si>
  <si>
    <t>Responsable</t>
  </si>
  <si>
    <t>Inventariar recursos actuales y accesos públicos expuestos</t>
  </si>
  <si>
    <t>S1</t>
  </si>
  <si>
    <t>No iniciado</t>
  </si>
  <si>
    <t>Jose Luis</t>
  </si>
  <si>
    <t>Crear VPC privada en DigitalOcean y subredes</t>
  </si>
  <si>
    <t>Migrar base de datos a Managed DB dentro de la VPC</t>
  </si>
  <si>
    <t>Eliminar IP pública de la BD y validar que solo responde dentro de la VPC</t>
  </si>
  <si>
    <t>S2</t>
  </si>
  <si>
    <t>Pruebas de conectividad app-BD dentro de la red privada</t>
  </si>
  <si>
    <t>Documentar arquitectura de red para el checklist de compliance</t>
  </si>
  <si>
    <t>Activar Cloudflare Pro y configurar reglas WAF (OWASP core)</t>
  </si>
  <si>
    <t>Definir reglas de rate-limiting y bloqueo geográfico si aplica</t>
  </si>
  <si>
    <t>S3</t>
  </si>
  <si>
    <t>Generar llaves criptográficas por usuario administrador</t>
  </si>
  <si>
    <t>Deshabilitar autenticación SSH por contraseña</t>
  </si>
  <si>
    <t>Configurar bastion host y restringir puerto 22 solo a IPs autorizadas</t>
  </si>
  <si>
    <t>Instalar fail2ban / monitoreo de intentos fallidos</t>
  </si>
  <si>
    <t>S4</t>
  </si>
  <si>
    <t>Prueba de penetración básica (checklist OWASP) sobre el perímetro</t>
  </si>
  <si>
    <t>Freelancer/Interno</t>
  </si>
  <si>
    <t>Definir pipeline en GitHub Actions para build + test</t>
  </si>
  <si>
    <t>Integrar Semgrep para análisis estático de código</t>
  </si>
  <si>
    <t>Integrar Snyk (o similar) para escaneo de dependencias</t>
  </si>
  <si>
    <t>Configurar gate de bloqueo: falla el deploy si hay vulnerabilidad crítica</t>
  </si>
  <si>
    <t>Corregir hallazgos iniciales del primer escaneo</t>
  </si>
  <si>
    <t>S5</t>
  </si>
  <si>
    <t>Documentar política de severidad y excepciones</t>
  </si>
  <si>
    <t>Desplegar droplet Wazuh manager y agentes en servidores</t>
  </si>
  <si>
    <t>Configurar envío de logs de aplicación y BD al SIEM</t>
  </si>
  <si>
    <t>Configurar DigitalOcean Spaces con Object Lock (inmutabilidad)</t>
  </si>
  <si>
    <t>S6</t>
  </si>
  <si>
    <t>Definir reglas de correlación para accesos no autorizados</t>
  </si>
  <si>
    <t>Configurar alertas en tiempo real (Slack/email/SMS)</t>
  </si>
  <si>
    <t>Pruebas de intrusión simulada y validación de alertas (MTTD)</t>
  </si>
  <si>
    <t>S7</t>
  </si>
  <si>
    <t>Ajuste fino para reducir falsos positivos</t>
  </si>
  <si>
    <t>Auditar e inventariar campos PII/financieros en la BD</t>
  </si>
  <si>
    <t>Definir política de clasificación de datos (público/interno/sensible)</t>
  </si>
  <si>
    <t>Implementar módulo de tokenización para campos críticos</t>
  </si>
  <si>
    <t>Implementar masking en logs y respuestas de API</t>
  </si>
  <si>
    <t>Migrar datos existentes al esquema tokenizado (backfill)</t>
  </si>
  <si>
    <t>S8</t>
  </si>
  <si>
    <t>Pruebas de que no hay fuga de PII en texto plano (logs, errores, backups)</t>
  </si>
  <si>
    <t>6. Cierre y validación final</t>
  </si>
  <si>
    <t>Ejecutar checklist completo de compliance contra los 5 controles</t>
  </si>
  <si>
    <t>Generar evidencia documental para el equipo de Safety &amp; Compliance</t>
  </si>
  <si>
    <t>Entrega formal y solicitud de apertura de ambiente de producción</t>
  </si>
  <si>
    <t>TOTAL HORAS Y COSTO DE REFERENCIA</t>
  </si>
  <si>
    <t>Nota clave: el costo de horas de referencia (arriba) representa esfuerzo/tiempo, no efectivo. Si estas horas se subcontrataran a la tasa de referencia, el costo excedería el presupuesto de $2,000 — ver hoja 'Riesgos' (riesgo de subestimación de horas).</t>
  </si>
  <si>
    <t>Matriz de Riesgos</t>
  </si>
  <si>
    <t>Probabilidad e Impacto en escala 1 (bajo) a 5 (alto). Score = Probabilidad x Impacto. Editable en azul.</t>
  </si>
  <si>
    <t>Etapa relacionada</t>
  </si>
  <si>
    <t>Riesgo</t>
  </si>
  <si>
    <t>Probabilidad (1-5)</t>
  </si>
  <si>
    <t>Impacto (1-5)</t>
  </si>
  <si>
    <t>Score</t>
  </si>
  <si>
    <t>Nivel</t>
  </si>
  <si>
    <t>Mitigación</t>
  </si>
  <si>
    <t>General</t>
  </si>
  <si>
    <t>Un solo responsable técnico (bus factor) ejecuta las 5 etapas: cualquier ausencia detiene el proyecto</t>
  </si>
  <si>
    <t>Documentar cada paso en la hoja 'Plan por Etapas' y dejar credenciales/runbooks accesibles a una segunda persona de confianza</t>
  </si>
  <si>
    <t>1. VPC</t>
  </si>
  <si>
    <t>Downtime o pérdida de datos durante la migración de la base de datos a la red privada</t>
  </si>
  <si>
    <t>Migrar con réplica en paralelo, ventana de mantenimiento anunciada y backup verificado antes del corte</t>
  </si>
  <si>
    <t>2. WAF/SSH</t>
  </si>
  <si>
    <t>Reglas de WAF mal configuradas bloquean tráfico legítimo (falsos positivos) y afectan a clientes reales</t>
  </si>
  <si>
    <t>Desplegar el WAF en modo 'monitoreo' antes de 'bloqueo' y revisar logs 48-72h antes de activar el bloqueo total</t>
  </si>
  <si>
    <t>3. SAST</t>
  </si>
  <si>
    <t>El gate de bloqueo detiene despliegues críticos en producción por falsos positivos del scanner</t>
  </si>
  <si>
    <t>Definir política de severidad clara y permitir excepciones documentadas y con fecha de expiración</t>
  </si>
  <si>
    <t>4. SIEM</t>
  </si>
  <si>
    <t>El proveedor de compliance no acepta una solución de logging autoconstruida (Wazuh + Spaces) como 'inmutable' según su criterio</t>
  </si>
  <si>
    <t>Exceso de alertas (falsos positivos) satura al único responsable y las alertas reales se ignoran</t>
  </si>
  <si>
    <t>Ajustar reglas de correlación de forma iterativa (Etapa 4) y definir umbrales de severidad antes de activar notificaciones push</t>
  </si>
  <si>
    <t>5. PII</t>
  </si>
  <si>
    <t>Migración/backfill de tokenización corrompe o pierde datos financieros existentes</t>
  </si>
  <si>
    <t>Ejecutar backfill sobre copia de la BD primero, con checksum de validación fila por fila antes de aplicar en producción</t>
  </si>
  <si>
    <t>El checklist entregado (5 controles) no equivale a cumplimiento regulatorio completo (p. ej. PCI-DSS, LFPDPPP en México) y genera una falsa sensación de estar 'cumplidos'</t>
  </si>
  <si>
    <t>Tratar este checklist como higiene de seguridad básica y consultar con asesoría legal/compliance especializada en fintech antes de operar con fondos de terceros</t>
  </si>
  <si>
    <t>Legitimidad del remitente del correo de requisitos no verificada (antecedente: el repo ya sufrió una fuga de secrets y una nota de pago sospechosa)</t>
  </si>
  <si>
    <t>Confirmar el requerimiento por un canal oficial y verificado con el equipo de Safety &amp; Compliance antes de compartir credenciales o acceso a la infraestructura</t>
  </si>
  <si>
    <t>Cronograma de 8 semanas se extiende por dependencias no previstas (aprobaciones, curva de aprendizaje de Wazuh, etc.)</t>
  </si>
  <si>
    <t>Agregar buffer de 1-2 semanas al final del plan y priorizar los controles de mayor riesgo (VPC, WAF) en las primeras etapas</t>
  </si>
  <si>
    <t>Costos recurrentes (Cloudflare, droplets, Spaces) continúan después de los 3 meses cubiertos por el presupuesto inicial</t>
  </si>
  <si>
    <t>Planear desde ahora el presupuesto operativo mensual post-implementación (~$35-45/mes) como gasto fijo de infraestructura</t>
  </si>
  <si>
    <t>Rutas de Salida y Planes de Contingencia (no son 'soluciones', son alternativas si algo falla)</t>
  </si>
  <si>
    <t>Cada ruta responde a: '¿qué hacemos si el plan principal no funciona en esta etapa?'</t>
  </si>
  <si>
    <t>Escenario disparador</t>
  </si>
  <si>
    <t>Ruta de salida / alternativa</t>
  </si>
  <si>
    <t>Costo/impacto de tomar esta ruta</t>
  </si>
  <si>
    <t>Cuándo decidirlo</t>
  </si>
  <si>
    <t>El presupuesto de $700 para SIEM resulta insuficiente al implementar Wazuh</t>
  </si>
  <si>
    <t>Reducir alcance temporal a logging centralizado simple (rsyslog + Spaces) sin correlación automática, y escalar a Wazuh completo en un segundo ciclo de presupuesto</t>
  </si>
  <si>
    <t>Menor cobertura de detección en el corto plazo; se documenta como 'control parcial' ante el equipo de compliance</t>
  </si>
  <si>
    <t>La tokenización de PII (Etapa 5) resulta más compleja de lo estimado y compromete el cronograma</t>
  </si>
  <si>
    <t>Costo recurrente adicional (~$30-100/mes) fuera del presupuesto de $2,000, a evaluar como gasto operativo</t>
  </si>
  <si>
    <t>Si al final de la Semana 7 el módulo interno no pasa las pruebas de fuga de PII</t>
  </si>
  <si>
    <t>La migración de la base de datos a la VPC privada falla o corrompe datos</t>
  </si>
  <si>
    <t>Rollback inmediato a la configuración anterior (BD con acceso previo) usando el backup pre-migración; reintentar en una ventana de mantenimiento distinta</t>
  </si>
  <si>
    <t>Pérdida de tiempo (1-2 días) pero sin pérdida de datos si el backup se validó antes</t>
  </si>
  <si>
    <t>Inmediatamente si las pruebas post-migración fallan</t>
  </si>
  <si>
    <t>El equipo de Safety &amp; Compliance no acepta el stack open-source como 'inmutable' o 'suficiente'</t>
  </si>
  <si>
    <t>Puede requerir presupuesto adicional no contemplado en los $2,000</t>
  </si>
  <si>
    <t>Al recibir la primera retroalimentación formal sobre la evidencia entregada</t>
  </si>
  <si>
    <t>Negociar una prórroga formal con el equipo de compliance, mostrando avance por etapas (no todo o nada) usando la hoja 'Plan por Etapas' como evidencia</t>
  </si>
  <si>
    <t>Riesgo reputacional si no se comunica proactivamente; bajo si se avisa con anticipación</t>
  </si>
  <si>
    <t>Tan pronto se detecte la desviación en el seguimiento semanal</t>
  </si>
  <si>
    <t>Los costos recurrentes post-implementación no son sostenibles</t>
  </si>
  <si>
    <t>Reevaluar el stack: pasar de droplets dedicados a servicios administrados de menor costo, o consolidar SIEM y bastion en un solo droplet más grande</t>
  </si>
  <si>
    <t>Posible reducción de redundancia/margen de seguridad a cambio de menor costo mensual</t>
  </si>
  <si>
    <t>PUNTOS CIEGOS / COSAS QUE ESTE PLAN NO CUBRE</t>
  </si>
  <si>
    <t>•  Auditoría externa formal / certificación (SOC2, PCI-DSS) — este plan cubre higiene técnica, no una certificación auditada por un tercero</t>
  </si>
  <si>
    <t>•  Costo de asesoría legal especializada en fintech/regulación financiera en México y EE.UU. (Ohio) — no está presupuestado</t>
  </si>
  <si>
    <t>•  Capacitación de personal adicional si el equipo crece — el plan asume que Jose Luis ejecuta todo</t>
  </si>
  <si>
    <t>•  Renovación y escalamiento de licencias/infraestructura después del mes 3 (costo operativo recurrente, ver hoja Riesgos)</t>
  </si>
  <si>
    <t>•  Plan de respuesta a incidentes formal (qué hacer el día que el SIEM sí detecte una intrusión real)</t>
  </si>
  <si>
    <t>•  Seguro de responsabilidad civil / ciberseguro, común en fintechs que manejan fondos de terceros</t>
  </si>
  <si>
    <t>El presupuesto de $2,000 es insuficiente para cubrir herramientas comerciales (SIEM/WAF de nivel )  desarrollo real</t>
  </si>
  <si>
    <t xml:space="preserve">Priorizar stack open-source (Wazuh, Semgrep, Spaces con Object Lock) y tratar las horas de desarrollo </t>
  </si>
  <si>
    <t>Contratar un servicio gestionado de tokenización (p. ej.) solo para los campos más críticos (tarjetas/cuentas), en vez de construirlo todo internamente</t>
  </si>
  <si>
    <t>Confirmar con el equipo de Safety &amp; Compliance qué certificación o evidencia específica exigen antes de construir</t>
  </si>
  <si>
    <t>Presupuesto base: $2,000 USD  |  Horizonte: 3 dias starting date 09 AUG 5 días  starting 10 Aug |  Moneda: USD</t>
  </si>
  <si>
    <t xml:space="preserve">El cronograma de 3 dias se atrasa más de 2 dias </t>
  </si>
  <si>
    <t>Si al cierre del dia  3 o 5 el gasto de la Etapa 4 supera $700</t>
  </si>
  <si>
    <t>Al revisar el presupuesto operativo del mes 1 en adelante</t>
  </si>
  <si>
    <t>100% en 3 dias o 5 dias</t>
  </si>
  <si>
    <t>Solicitar por escrito los criterios exactos de aceptación y, si es necesario, cotizar una solución SaaS  (p. ej. Datadog, Better Stack) financiada  de este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</si>
</sst>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808080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1E7145"/>
      <name val="Arial"/>
      <charset val="1"/>
    </font>
    <font>
      <sz val="10"/>
      <color rgb="FF0000FF"/>
      <name val="Arial"/>
      <charset val="1"/>
    </font>
    <font>
      <b/>
      <sz val="10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 applyBorder="1" applyAlignment="1">
      <alignment wrapText="1"/>
    </xf>
    <xf numFmtId="0" fontId="4" fillId="5" borderId="0" xfId="0" applyFont="1" applyFill="1" applyBorder="1" applyAlignment="1"/>
    <xf numFmtId="0" fontId="10" fillId="0" borderId="0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0" fontId="5" fillId="2" borderId="0" xfId="0" applyFont="1" applyFill="1" applyBorder="1" applyAlignment="1"/>
    <xf numFmtId="0" fontId="2" fillId="0" borderId="0" xfId="0" applyFont="1" applyBorder="1" applyAlignment="1">
      <alignment wrapText="1"/>
    </xf>
    <xf numFmtId="0" fontId="4" fillId="2" borderId="0" xfId="0" applyFont="1" applyFill="1" applyBorder="1" applyAlignment="1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165" fontId="7" fillId="4" borderId="1" xfId="0" applyNumberFormat="1" applyFont="1" applyFill="1" applyBorder="1" applyAlignment="1"/>
    <xf numFmtId="0" fontId="0" fillId="4" borderId="1" xfId="0" applyFill="1" applyBorder="1" applyAlignment="1"/>
    <xf numFmtId="0" fontId="8" fillId="0" borderId="0" xfId="0" applyFont="1" applyAlignment="1"/>
    <xf numFmtId="0" fontId="7" fillId="0" borderId="0" xfId="0" applyFont="1" applyAlignment="1"/>
    <xf numFmtId="164" fontId="9" fillId="0" borderId="0" xfId="0" applyNumberFormat="1" applyFont="1" applyAlignment="1"/>
    <xf numFmtId="9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3">
    <dxf>
      <font>
        <b/>
        <color rgb="FF1E7145"/>
        <name val="Arial"/>
        <charset val="1"/>
      </font>
      <fill>
        <patternFill>
          <bgColor rgb="FFE2EFDA"/>
        </patternFill>
      </fill>
    </dxf>
    <dxf>
      <font>
        <b/>
        <color rgb="FFBF8F00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7B7B7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8"/>
  <sheetViews>
    <sheetView showGridLines="0" topLeftCell="B1" zoomScaleNormal="100" workbookViewId="0">
      <selection activeCell="C20" sqref="C20"/>
    </sheetView>
  </sheetViews>
  <sheetFormatPr defaultColWidth="8.7421875" defaultRowHeight="15" x14ac:dyDescent="0.2"/>
  <cols>
    <col min="1" max="1" width="2.015625" style="8" customWidth="1"/>
    <col min="2" max="2" width="34.03125" style="8" customWidth="1"/>
    <col min="3" max="3" width="25.69140625" style="8" customWidth="1"/>
    <col min="4" max="4" width="20.84765625" style="8" customWidth="1"/>
    <col min="5" max="5" width="22.05859375" style="8" customWidth="1"/>
    <col min="6" max="6" width="16.0078125" style="8" customWidth="1"/>
  </cols>
  <sheetData>
    <row r="2" spans="2:6" ht="19.5" customHeight="1" x14ac:dyDescent="0.25">
      <c r="B2" s="9" t="s">
        <v>0</v>
      </c>
    </row>
    <row r="3" spans="2:6" ht="15" customHeight="1" x14ac:dyDescent="0.2">
      <c r="B3" s="10" t="s">
        <v>1</v>
      </c>
    </row>
    <row r="4" spans="2:6" ht="15" customHeight="1" x14ac:dyDescent="0.2">
      <c r="B4" s="11" t="s">
        <v>232</v>
      </c>
    </row>
    <row r="6" spans="2:6" ht="15" customHeight="1" x14ac:dyDescent="0.2">
      <c r="B6" s="7" t="s">
        <v>2</v>
      </c>
      <c r="C6" s="7"/>
      <c r="D6" s="7"/>
      <c r="E6" s="7"/>
      <c r="F6" s="7"/>
    </row>
    <row r="7" spans="2:6" ht="26.25" customHeight="1" x14ac:dyDescent="0.2">
      <c r="B7" s="12" t="s">
        <v>3</v>
      </c>
      <c r="C7" s="12" t="s">
        <v>4</v>
      </c>
      <c r="D7" s="12" t="s">
        <v>5</v>
      </c>
      <c r="E7" s="12" t="s">
        <v>6</v>
      </c>
      <c r="F7" s="12" t="s">
        <v>7</v>
      </c>
    </row>
    <row r="8" spans="2:6" ht="15" customHeight="1" x14ac:dyDescent="0.2">
      <c r="B8" s="13" t="s">
        <v>8</v>
      </c>
      <c r="C8" s="14">
        <v>100</v>
      </c>
      <c r="D8" s="15">
        <f>C8/$C$14</f>
        <v>0.05</v>
      </c>
      <c r="E8" s="16">
        <v>1</v>
      </c>
      <c r="F8" s="16" t="s">
        <v>9</v>
      </c>
    </row>
    <row r="9" spans="2:6" ht="15" customHeight="1" x14ac:dyDescent="0.2">
      <c r="B9" s="13" t="s">
        <v>10</v>
      </c>
      <c r="C9" s="14">
        <v>250</v>
      </c>
      <c r="D9" s="15">
        <f>C9/$C$14</f>
        <v>0.125</v>
      </c>
      <c r="E9" s="16">
        <v>2</v>
      </c>
      <c r="F9" s="16" t="s">
        <v>11</v>
      </c>
    </row>
    <row r="10" spans="2:6" ht="15" customHeight="1" x14ac:dyDescent="0.2">
      <c r="B10" s="13" t="s">
        <v>12</v>
      </c>
      <c r="C10" s="14">
        <v>150</v>
      </c>
      <c r="D10" s="15">
        <f>C10/$C$14</f>
        <v>7.4999999999999997E-2</v>
      </c>
      <c r="E10" s="16">
        <v>2</v>
      </c>
      <c r="F10" s="16" t="s">
        <v>9</v>
      </c>
    </row>
    <row r="11" spans="2:6" ht="15" customHeight="1" x14ac:dyDescent="0.2">
      <c r="B11" s="13" t="s">
        <v>13</v>
      </c>
      <c r="C11" s="14">
        <v>700</v>
      </c>
      <c r="D11" s="15">
        <f>C11/$C$14</f>
        <v>0.35</v>
      </c>
      <c r="E11" s="16">
        <v>3</v>
      </c>
      <c r="F11" s="16" t="s">
        <v>14</v>
      </c>
    </row>
    <row r="12" spans="2:6" ht="15" customHeight="1" x14ac:dyDescent="0.2">
      <c r="B12" s="13" t="s">
        <v>15</v>
      </c>
      <c r="C12" s="14">
        <v>500</v>
      </c>
      <c r="D12" s="15">
        <f>C12/$C$14</f>
        <v>0.25</v>
      </c>
      <c r="E12" s="16">
        <v>3</v>
      </c>
      <c r="F12" s="16" t="s">
        <v>14</v>
      </c>
    </row>
    <row r="13" spans="2:6" ht="15" customHeight="1" x14ac:dyDescent="0.2">
      <c r="B13" s="13" t="s">
        <v>16</v>
      </c>
      <c r="C13" s="14">
        <v>300</v>
      </c>
      <c r="D13" s="15">
        <f>C13/$C$14</f>
        <v>0.15</v>
      </c>
      <c r="E13" s="16">
        <v>0</v>
      </c>
      <c r="F13" s="16" t="s">
        <v>17</v>
      </c>
    </row>
    <row r="14" spans="2:6" ht="15" customHeight="1" x14ac:dyDescent="0.2">
      <c r="B14" s="17" t="s">
        <v>18</v>
      </c>
      <c r="C14" s="18">
        <f>SUM(C8:C13)</f>
        <v>2000</v>
      </c>
      <c r="D14" s="19">
        <f>SUM(D8:D13)</f>
        <v>1</v>
      </c>
      <c r="E14" s="20"/>
      <c r="F14" s="20"/>
    </row>
    <row r="15" spans="2:6" ht="15" customHeight="1" x14ac:dyDescent="0.2">
      <c r="B15" s="10" t="s">
        <v>19</v>
      </c>
      <c r="C15" s="21" t="str">
        <f>IF(C14=2000,"OK - Cuadra","REVISAR")</f>
        <v>OK - Cuadra</v>
      </c>
    </row>
    <row r="18" spans="2:6" ht="15" customHeight="1" x14ac:dyDescent="0.2">
      <c r="B18" s="7" t="s">
        <v>20</v>
      </c>
      <c r="C18" s="7"/>
      <c r="D18" s="7"/>
      <c r="E18" s="7"/>
      <c r="F18" s="7"/>
    </row>
    <row r="19" spans="2:6" ht="26.25" customHeight="1" x14ac:dyDescent="0.2">
      <c r="B19" s="12" t="s">
        <v>21</v>
      </c>
      <c r="C19" s="12" t="s">
        <v>22</v>
      </c>
      <c r="D19" s="12" t="s">
        <v>23</v>
      </c>
      <c r="E19" s="12" t="s">
        <v>24</v>
      </c>
    </row>
    <row r="20" spans="2:6" ht="57" customHeight="1" x14ac:dyDescent="0.2">
      <c r="B20" s="13" t="s">
        <v>25</v>
      </c>
      <c r="C20" s="16" t="s">
        <v>236</v>
      </c>
      <c r="D20" s="13" t="s">
        <v>26</v>
      </c>
      <c r="E20" s="16" t="s">
        <v>27</v>
      </c>
    </row>
    <row r="21" spans="2:6" ht="34.5" customHeight="1" x14ac:dyDescent="0.2">
      <c r="B21" s="13" t="s">
        <v>28</v>
      </c>
      <c r="C21" s="16" t="s">
        <v>29</v>
      </c>
      <c r="D21" s="13" t="s">
        <v>30</v>
      </c>
      <c r="E21" s="16" t="s">
        <v>31</v>
      </c>
    </row>
    <row r="22" spans="2:6" ht="34.5" customHeight="1" x14ac:dyDescent="0.2">
      <c r="B22" s="13" t="s">
        <v>32</v>
      </c>
      <c r="C22" s="16" t="s">
        <v>33</v>
      </c>
      <c r="D22" s="13" t="s">
        <v>34</v>
      </c>
      <c r="E22" s="16" t="s">
        <v>27</v>
      </c>
    </row>
    <row r="23" spans="2:6" ht="23.25" customHeight="1" x14ac:dyDescent="0.2">
      <c r="B23" s="13" t="s">
        <v>35</v>
      </c>
      <c r="C23" s="16" t="s">
        <v>36</v>
      </c>
      <c r="D23" s="13" t="s">
        <v>37</v>
      </c>
      <c r="E23" s="16" t="s">
        <v>38</v>
      </c>
    </row>
    <row r="24" spans="2:6" ht="45.75" customHeight="1" x14ac:dyDescent="0.2">
      <c r="B24" s="13" t="s">
        <v>39</v>
      </c>
      <c r="C24" s="16" t="s">
        <v>40</v>
      </c>
      <c r="D24" s="13" t="s">
        <v>41</v>
      </c>
      <c r="E24" s="16" t="s">
        <v>42</v>
      </c>
    </row>
    <row r="25" spans="2:6" ht="23.25" customHeight="1" x14ac:dyDescent="0.2">
      <c r="B25" s="13" t="s">
        <v>43</v>
      </c>
      <c r="C25" s="16" t="s">
        <v>44</v>
      </c>
      <c r="D25" s="13" t="s">
        <v>45</v>
      </c>
      <c r="E25" s="16" t="s">
        <v>46</v>
      </c>
    </row>
    <row r="26" spans="2:6" ht="34.5" customHeight="1" x14ac:dyDescent="0.2">
      <c r="B26" s="13" t="s">
        <v>47</v>
      </c>
      <c r="C26" s="16" t="s">
        <v>48</v>
      </c>
      <c r="D26" s="13" t="s">
        <v>49</v>
      </c>
      <c r="E26" s="16" t="s">
        <v>50</v>
      </c>
    </row>
    <row r="28" spans="2:6" ht="30" customHeight="1" x14ac:dyDescent="0.2">
      <c r="B28" s="6" t="s">
        <v>51</v>
      </c>
      <c r="C28" s="6"/>
      <c r="D28" s="6"/>
      <c r="E28" s="6"/>
      <c r="F28" s="6"/>
    </row>
  </sheetData>
  <mergeCells count="3">
    <mergeCell ref="B6:F6"/>
    <mergeCell ref="B18:F18"/>
    <mergeCell ref="B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4"/>
  <sheetViews>
    <sheetView showGridLines="0" zoomScaleNormal="100" workbookViewId="0"/>
  </sheetViews>
  <sheetFormatPr defaultColWidth="8.7421875" defaultRowHeight="15" x14ac:dyDescent="0.2"/>
  <cols>
    <col min="1" max="1" width="2.015625" style="8" customWidth="1"/>
    <col min="2" max="2" width="25.9609375" style="8" customWidth="1"/>
    <col min="3" max="3" width="41.96875" style="8" customWidth="1"/>
    <col min="4" max="4" width="11.97265625" style="8" customWidth="1"/>
    <col min="5" max="7" width="13.046875" style="8" customWidth="1"/>
    <col min="8" max="8" width="25.9609375" style="8" customWidth="1"/>
  </cols>
  <sheetData>
    <row r="2" spans="2:8" ht="19.5" customHeight="1" x14ac:dyDescent="0.25">
      <c r="B2" s="9" t="s">
        <v>52</v>
      </c>
    </row>
    <row r="3" spans="2:8" ht="15" customHeight="1" x14ac:dyDescent="0.2">
      <c r="B3" s="10" t="s">
        <v>53</v>
      </c>
    </row>
    <row r="5" spans="2:8" ht="26.25" customHeight="1" x14ac:dyDescent="0.2">
      <c r="B5" s="12" t="s">
        <v>3</v>
      </c>
      <c r="C5" s="12" t="s">
        <v>54</v>
      </c>
      <c r="D5" s="12" t="s">
        <v>55</v>
      </c>
      <c r="E5" s="12" t="s">
        <v>56</v>
      </c>
      <c r="F5" s="12" t="s">
        <v>57</v>
      </c>
      <c r="G5" s="12" t="s">
        <v>58</v>
      </c>
      <c r="H5" s="12" t="s">
        <v>59</v>
      </c>
    </row>
    <row r="6" spans="2:8" ht="23.25" customHeight="1" x14ac:dyDescent="0.2">
      <c r="B6" s="16" t="s">
        <v>8</v>
      </c>
      <c r="C6" s="13" t="s">
        <v>60</v>
      </c>
      <c r="D6" s="16" t="s">
        <v>61</v>
      </c>
      <c r="E6" s="14">
        <v>0</v>
      </c>
      <c r="F6" s="16">
        <v>3</v>
      </c>
      <c r="G6" s="14">
        <f>E6*F6</f>
        <v>0</v>
      </c>
      <c r="H6" s="13" t="s">
        <v>62</v>
      </c>
    </row>
    <row r="7" spans="2:8" ht="15" customHeight="1" x14ac:dyDescent="0.2">
      <c r="B7" s="16" t="s">
        <v>8</v>
      </c>
      <c r="C7" s="13" t="s">
        <v>63</v>
      </c>
      <c r="D7" s="16" t="s">
        <v>61</v>
      </c>
      <c r="E7" s="14">
        <v>12</v>
      </c>
      <c r="F7" s="16">
        <v>1</v>
      </c>
      <c r="G7" s="14">
        <f>E7*F7</f>
        <v>12</v>
      </c>
      <c r="H7" s="13" t="s">
        <v>64</v>
      </c>
    </row>
    <row r="8" spans="2:8" ht="15" customHeight="1" x14ac:dyDescent="0.2">
      <c r="B8" s="16" t="s">
        <v>8</v>
      </c>
      <c r="C8" s="13" t="s">
        <v>65</v>
      </c>
      <c r="D8" s="16" t="s">
        <v>66</v>
      </c>
      <c r="E8" s="14">
        <v>88</v>
      </c>
      <c r="F8" s="16">
        <v>1</v>
      </c>
      <c r="G8" s="14">
        <f>E8*F8</f>
        <v>88</v>
      </c>
      <c r="H8" s="13" t="s">
        <v>67</v>
      </c>
    </row>
    <row r="9" spans="2:8" ht="15" customHeight="1" x14ac:dyDescent="0.2">
      <c r="B9" s="16" t="s">
        <v>10</v>
      </c>
      <c r="C9" s="13" t="s">
        <v>68</v>
      </c>
      <c r="D9" s="16" t="s">
        <v>61</v>
      </c>
      <c r="E9" s="14">
        <v>20</v>
      </c>
      <c r="F9" s="16">
        <v>3</v>
      </c>
      <c r="G9" s="14">
        <f>E9*F9</f>
        <v>60</v>
      </c>
      <c r="H9" s="13" t="s">
        <v>69</v>
      </c>
    </row>
    <row r="10" spans="2:8" ht="15" customHeight="1" x14ac:dyDescent="0.2">
      <c r="B10" s="16" t="s">
        <v>10</v>
      </c>
      <c r="C10" s="13" t="s">
        <v>70</v>
      </c>
      <c r="D10" s="16" t="s">
        <v>61</v>
      </c>
      <c r="E10" s="14">
        <v>6</v>
      </c>
      <c r="F10" s="16">
        <v>3</v>
      </c>
      <c r="G10" s="14">
        <f>E10*F10</f>
        <v>18</v>
      </c>
      <c r="H10" s="13" t="s">
        <v>64</v>
      </c>
    </row>
    <row r="11" spans="2:8" ht="15" customHeight="1" x14ac:dyDescent="0.2">
      <c r="B11" s="16" t="s">
        <v>10</v>
      </c>
      <c r="C11" s="13" t="s">
        <v>71</v>
      </c>
      <c r="D11" s="16" t="s">
        <v>66</v>
      </c>
      <c r="E11" s="14">
        <v>0</v>
      </c>
      <c r="F11" s="16">
        <v>1</v>
      </c>
      <c r="G11" s="14">
        <f>E11*F11</f>
        <v>0</v>
      </c>
      <c r="H11" s="13" t="s">
        <v>72</v>
      </c>
    </row>
    <row r="12" spans="2:8" ht="15" customHeight="1" x14ac:dyDescent="0.2">
      <c r="B12" s="16" t="s">
        <v>10</v>
      </c>
      <c r="C12" s="13" t="s">
        <v>73</v>
      </c>
      <c r="D12" s="16" t="s">
        <v>66</v>
      </c>
      <c r="E12" s="14">
        <v>172</v>
      </c>
      <c r="F12" s="16">
        <v>1</v>
      </c>
      <c r="G12" s="14">
        <f>E12*F12</f>
        <v>172</v>
      </c>
      <c r="H12" s="13" t="s">
        <v>74</v>
      </c>
    </row>
    <row r="13" spans="2:8" ht="15" customHeight="1" x14ac:dyDescent="0.2">
      <c r="B13" s="16" t="s">
        <v>12</v>
      </c>
      <c r="C13" s="13" t="s">
        <v>75</v>
      </c>
      <c r="D13" s="16" t="s">
        <v>61</v>
      </c>
      <c r="E13" s="14">
        <v>0</v>
      </c>
      <c r="F13" s="16">
        <v>3</v>
      </c>
      <c r="G13" s="14">
        <f>E13*F13</f>
        <v>0</v>
      </c>
      <c r="H13" s="13" t="s">
        <v>76</v>
      </c>
    </row>
    <row r="14" spans="2:8" ht="15" customHeight="1" x14ac:dyDescent="0.2">
      <c r="B14" s="16" t="s">
        <v>12</v>
      </c>
      <c r="C14" s="13" t="s">
        <v>77</v>
      </c>
      <c r="D14" s="16" t="s">
        <v>61</v>
      </c>
      <c r="E14" s="14">
        <v>0</v>
      </c>
      <c r="F14" s="16">
        <v>3</v>
      </c>
      <c r="G14" s="14">
        <f>E14*F14</f>
        <v>0</v>
      </c>
      <c r="H14" s="13" t="s">
        <v>78</v>
      </c>
    </row>
    <row r="15" spans="2:8" ht="15" customHeight="1" x14ac:dyDescent="0.2">
      <c r="B15" s="16" t="s">
        <v>12</v>
      </c>
      <c r="C15" s="13" t="s">
        <v>79</v>
      </c>
      <c r="D15" s="16" t="s">
        <v>61</v>
      </c>
      <c r="E15" s="14">
        <v>0</v>
      </c>
      <c r="F15" s="16">
        <v>3</v>
      </c>
      <c r="G15" s="14">
        <f>E15*F15</f>
        <v>0</v>
      </c>
      <c r="H15" s="13" t="s">
        <v>80</v>
      </c>
    </row>
    <row r="16" spans="2:8" ht="15" customHeight="1" x14ac:dyDescent="0.2">
      <c r="B16" s="16" t="s">
        <v>12</v>
      </c>
      <c r="C16" s="13" t="s">
        <v>81</v>
      </c>
      <c r="D16" s="16" t="s">
        <v>66</v>
      </c>
      <c r="E16" s="14">
        <v>150</v>
      </c>
      <c r="F16" s="16">
        <v>1</v>
      </c>
      <c r="G16" s="14">
        <f>E16*F16</f>
        <v>150</v>
      </c>
      <c r="H16" s="13" t="s">
        <v>67</v>
      </c>
    </row>
    <row r="17" spans="2:8" ht="15" customHeight="1" x14ac:dyDescent="0.2">
      <c r="B17" s="16" t="s">
        <v>13</v>
      </c>
      <c r="C17" s="13" t="s">
        <v>82</v>
      </c>
      <c r="D17" s="16" t="s">
        <v>61</v>
      </c>
      <c r="E17" s="14">
        <v>24</v>
      </c>
      <c r="F17" s="16">
        <v>3</v>
      </c>
      <c r="G17" s="14">
        <f>E17*F17</f>
        <v>72</v>
      </c>
      <c r="H17" s="13" t="s">
        <v>64</v>
      </c>
    </row>
    <row r="18" spans="2:8" ht="23.25" customHeight="1" x14ac:dyDescent="0.2">
      <c r="B18" s="16" t="s">
        <v>13</v>
      </c>
      <c r="C18" s="13" t="s">
        <v>83</v>
      </c>
      <c r="D18" s="16" t="s">
        <v>61</v>
      </c>
      <c r="E18" s="14">
        <v>5</v>
      </c>
      <c r="F18" s="16">
        <v>3</v>
      </c>
      <c r="G18" s="14">
        <f>E18*F18</f>
        <v>15</v>
      </c>
      <c r="H18" s="13" t="s">
        <v>84</v>
      </c>
    </row>
    <row r="19" spans="2:8" ht="15" customHeight="1" x14ac:dyDescent="0.2">
      <c r="B19" s="16" t="s">
        <v>13</v>
      </c>
      <c r="C19" s="13" t="s">
        <v>85</v>
      </c>
      <c r="D19" s="16" t="s">
        <v>66</v>
      </c>
      <c r="E19" s="14">
        <v>0</v>
      </c>
      <c r="F19" s="16">
        <v>1</v>
      </c>
      <c r="G19" s="14">
        <f>E19*F19</f>
        <v>0</v>
      </c>
      <c r="H19" s="13" t="s">
        <v>72</v>
      </c>
    </row>
    <row r="20" spans="2:8" ht="23.25" customHeight="1" x14ac:dyDescent="0.2">
      <c r="B20" s="16" t="s">
        <v>13</v>
      </c>
      <c r="C20" s="13" t="s">
        <v>86</v>
      </c>
      <c r="D20" s="16" t="s">
        <v>66</v>
      </c>
      <c r="E20" s="14">
        <v>613</v>
      </c>
      <c r="F20" s="16">
        <v>1</v>
      </c>
      <c r="G20" s="14">
        <f>E20*F20</f>
        <v>613</v>
      </c>
      <c r="H20" s="13" t="s">
        <v>87</v>
      </c>
    </row>
    <row r="21" spans="2:8" ht="15" customHeight="1" x14ac:dyDescent="0.2">
      <c r="B21" s="16" t="s">
        <v>15</v>
      </c>
      <c r="C21" s="13" t="s">
        <v>88</v>
      </c>
      <c r="D21" s="16" t="s">
        <v>66</v>
      </c>
      <c r="E21" s="14">
        <v>0</v>
      </c>
      <c r="F21" s="16">
        <v>1</v>
      </c>
      <c r="G21" s="14">
        <f>E21*F21</f>
        <v>0</v>
      </c>
      <c r="H21" s="13" t="s">
        <v>89</v>
      </c>
    </row>
    <row r="22" spans="2:8" ht="15" customHeight="1" x14ac:dyDescent="0.2">
      <c r="B22" s="16" t="s">
        <v>15</v>
      </c>
      <c r="C22" s="13" t="s">
        <v>90</v>
      </c>
      <c r="D22" s="16" t="s">
        <v>61</v>
      </c>
      <c r="E22" s="14">
        <v>12</v>
      </c>
      <c r="F22" s="16">
        <v>2</v>
      </c>
      <c r="G22" s="14">
        <f>E22*F22</f>
        <v>24</v>
      </c>
      <c r="H22" s="13" t="s">
        <v>64</v>
      </c>
    </row>
    <row r="23" spans="2:8" ht="15" customHeight="1" x14ac:dyDescent="0.2">
      <c r="B23" s="16" t="s">
        <v>15</v>
      </c>
      <c r="C23" s="13" t="s">
        <v>91</v>
      </c>
      <c r="D23" s="16" t="s">
        <v>66</v>
      </c>
      <c r="E23" s="14">
        <v>76</v>
      </c>
      <c r="F23" s="16">
        <v>1</v>
      </c>
      <c r="G23" s="14">
        <f>E23*F23</f>
        <v>76</v>
      </c>
      <c r="H23" s="13" t="s">
        <v>67</v>
      </c>
    </row>
    <row r="24" spans="2:8" ht="15" customHeight="1" x14ac:dyDescent="0.2">
      <c r="B24" s="16" t="s">
        <v>15</v>
      </c>
      <c r="C24" s="13" t="s">
        <v>92</v>
      </c>
      <c r="D24" s="16" t="s">
        <v>66</v>
      </c>
      <c r="E24" s="14">
        <v>400</v>
      </c>
      <c r="F24" s="16">
        <v>1</v>
      </c>
      <c r="G24" s="14">
        <f>E24*F24</f>
        <v>400</v>
      </c>
      <c r="H24" s="13" t="s">
        <v>93</v>
      </c>
    </row>
    <row r="25" spans="2:8" ht="15" customHeight="1" x14ac:dyDescent="0.2">
      <c r="B25" s="16" t="s">
        <v>16</v>
      </c>
      <c r="C25" s="13" t="s">
        <v>94</v>
      </c>
      <c r="D25" s="16" t="s">
        <v>66</v>
      </c>
      <c r="E25" s="14">
        <v>300</v>
      </c>
      <c r="F25" s="16">
        <v>1</v>
      </c>
      <c r="G25" s="14">
        <f>E25*F25</f>
        <v>300</v>
      </c>
      <c r="H25" s="13" t="s">
        <v>95</v>
      </c>
    </row>
    <row r="26" spans="2:8" ht="15" customHeight="1" x14ac:dyDescent="0.2">
      <c r="B26" s="17" t="s">
        <v>96</v>
      </c>
      <c r="C26" s="20"/>
      <c r="D26" s="20"/>
      <c r="E26" s="20"/>
      <c r="F26" s="20"/>
      <c r="G26" s="18">
        <f>SUM(G6:G25)</f>
        <v>2000</v>
      </c>
      <c r="H26" s="20"/>
    </row>
    <row r="28" spans="2:8" ht="15" customHeight="1" x14ac:dyDescent="0.2">
      <c r="B28" s="5" t="s">
        <v>97</v>
      </c>
      <c r="C28" s="5"/>
    </row>
    <row r="29" spans="2:8" ht="15" customHeight="1" x14ac:dyDescent="0.2">
      <c r="B29" s="13" t="s">
        <v>8</v>
      </c>
      <c r="C29" s="14">
        <f>SUMIF($B$6:$B$25,B29,$G$6:$G$25)</f>
        <v>100</v>
      </c>
    </row>
    <row r="30" spans="2:8" ht="15" customHeight="1" x14ac:dyDescent="0.2">
      <c r="B30" s="13" t="s">
        <v>10</v>
      </c>
      <c r="C30" s="14">
        <f>SUMIF($B$6:$B$25,B30,$G$6:$G$25)</f>
        <v>250</v>
      </c>
    </row>
    <row r="31" spans="2:8" ht="15" customHeight="1" x14ac:dyDescent="0.2">
      <c r="B31" s="13" t="s">
        <v>12</v>
      </c>
      <c r="C31" s="14">
        <f>SUMIF($B$6:$B$25,B31,$G$6:$G$25)</f>
        <v>150</v>
      </c>
    </row>
    <row r="32" spans="2:8" ht="15" customHeight="1" x14ac:dyDescent="0.2">
      <c r="B32" s="13" t="s">
        <v>13</v>
      </c>
      <c r="C32" s="14">
        <f>SUMIF($B$6:$B$25,B32,$G$6:$G$25)</f>
        <v>700</v>
      </c>
    </row>
    <row r="33" spans="2:3" ht="15" customHeight="1" x14ac:dyDescent="0.2">
      <c r="B33" s="13" t="s">
        <v>15</v>
      </c>
      <c r="C33" s="14">
        <f>SUMIF($B$6:$B$25,B33,$G$6:$G$25)</f>
        <v>500</v>
      </c>
    </row>
    <row r="34" spans="2:3" ht="15" customHeight="1" x14ac:dyDescent="0.2">
      <c r="B34" s="13" t="s">
        <v>16</v>
      </c>
      <c r="C34" s="14">
        <f>SUMIF($B$6:$B$25,B34,$G$6:$G$25)</f>
        <v>300</v>
      </c>
    </row>
  </sheetData>
  <mergeCells count="1">
    <mergeCell ref="B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45"/>
  <sheetViews>
    <sheetView showGridLines="0" topLeftCell="A6" zoomScaleNormal="100" workbookViewId="0">
      <selection activeCell="H53" sqref="H53"/>
    </sheetView>
  </sheetViews>
  <sheetFormatPr defaultColWidth="8.7421875" defaultRowHeight="15" x14ac:dyDescent="0.2"/>
  <cols>
    <col min="1" max="1" width="2.015625" style="8" customWidth="1"/>
    <col min="2" max="2" width="23.9453125" style="8" customWidth="1"/>
    <col min="3" max="3" width="4.03515625" style="8" customWidth="1"/>
    <col min="4" max="4" width="46.00390625" style="8" customWidth="1"/>
    <col min="5" max="5" width="9.953125" style="8" customWidth="1"/>
    <col min="6" max="6" width="11.97265625" style="8" customWidth="1"/>
    <col min="7" max="7" width="7.93359375" style="8" customWidth="1"/>
    <col min="8" max="8" width="11.97265625" style="8" customWidth="1"/>
    <col min="9" max="9" width="13.98828125" style="8" customWidth="1"/>
    <col min="10" max="10" width="9.953125" style="8" customWidth="1"/>
    <col min="11" max="11" width="16.0078125" style="8" customWidth="1"/>
  </cols>
  <sheetData>
    <row r="2" spans="2:11" ht="19.5" customHeight="1" x14ac:dyDescent="0.25">
      <c r="B2" s="9" t="s">
        <v>98</v>
      </c>
    </row>
    <row r="3" spans="2:11" ht="15" customHeight="1" x14ac:dyDescent="0.2">
      <c r="B3" s="10" t="s">
        <v>99</v>
      </c>
    </row>
    <row r="5" spans="2:11" ht="15" customHeight="1" x14ac:dyDescent="0.2">
      <c r="B5" s="22" t="s">
        <v>100</v>
      </c>
      <c r="D5" s="23">
        <v>15</v>
      </c>
      <c r="E5" s="10" t="s">
        <v>101</v>
      </c>
    </row>
    <row r="7" spans="2:11" ht="26.25" customHeight="1" x14ac:dyDescent="0.2">
      <c r="B7" s="12" t="s">
        <v>3</v>
      </c>
      <c r="C7" s="12" t="s">
        <v>102</v>
      </c>
      <c r="D7" s="12" t="s">
        <v>103</v>
      </c>
      <c r="E7" s="12" t="s">
        <v>104</v>
      </c>
      <c r="F7" s="12" t="s">
        <v>105</v>
      </c>
      <c r="G7" s="12" t="s">
        <v>106</v>
      </c>
      <c r="H7" s="12" t="s">
        <v>107</v>
      </c>
      <c r="I7" s="12" t="s">
        <v>108</v>
      </c>
      <c r="J7" s="12" t="s">
        <v>109</v>
      </c>
      <c r="K7" s="12" t="s">
        <v>110</v>
      </c>
    </row>
    <row r="8" spans="2:11" ht="23.25" customHeight="1" x14ac:dyDescent="0.2">
      <c r="B8" s="4" t="s">
        <v>8</v>
      </c>
      <c r="C8" s="16">
        <v>1</v>
      </c>
      <c r="D8" s="13" t="s">
        <v>111</v>
      </c>
      <c r="E8" s="16">
        <v>3</v>
      </c>
      <c r="F8" s="14">
        <f>E8*$D$5</f>
        <v>45</v>
      </c>
      <c r="G8" s="16" t="s">
        <v>112</v>
      </c>
      <c r="H8" s="15">
        <f>E8/SUM($E$8:$E$13)</f>
        <v>0.17647058823529413</v>
      </c>
      <c r="I8" s="16" t="s">
        <v>113</v>
      </c>
      <c r="J8" s="24">
        <v>0</v>
      </c>
      <c r="K8" s="16" t="s">
        <v>114</v>
      </c>
    </row>
    <row r="9" spans="2:11" ht="15" customHeight="1" x14ac:dyDescent="0.2">
      <c r="B9" s="4"/>
      <c r="C9" s="16">
        <v>2</v>
      </c>
      <c r="D9" s="13" t="s">
        <v>115</v>
      </c>
      <c r="E9" s="16">
        <v>2</v>
      </c>
      <c r="F9" s="14">
        <f>E9*$D$5</f>
        <v>30</v>
      </c>
      <c r="G9" s="16" t="s">
        <v>112</v>
      </c>
      <c r="H9" s="15">
        <f>E9/SUM($E$8:$E$13)</f>
        <v>0.11764705882352941</v>
      </c>
      <c r="I9" s="16" t="s">
        <v>113</v>
      </c>
      <c r="J9" s="24">
        <v>0</v>
      </c>
      <c r="K9" s="16" t="s">
        <v>114</v>
      </c>
    </row>
    <row r="10" spans="2:11" ht="15" customHeight="1" x14ac:dyDescent="0.2">
      <c r="B10" s="4"/>
      <c r="C10" s="16">
        <v>3</v>
      </c>
      <c r="D10" s="13" t="s">
        <v>116</v>
      </c>
      <c r="E10" s="16">
        <v>5</v>
      </c>
      <c r="F10" s="14">
        <f>E10*$D$5</f>
        <v>75</v>
      </c>
      <c r="G10" s="16" t="s">
        <v>112</v>
      </c>
      <c r="H10" s="15">
        <f>E10/SUM($E$8:$E$13)</f>
        <v>0.29411764705882354</v>
      </c>
      <c r="I10" s="16" t="s">
        <v>113</v>
      </c>
      <c r="J10" s="24">
        <v>0</v>
      </c>
      <c r="K10" s="16" t="s">
        <v>114</v>
      </c>
    </row>
    <row r="11" spans="2:11" ht="23.25" customHeight="1" x14ac:dyDescent="0.2">
      <c r="B11" s="4"/>
      <c r="C11" s="16">
        <v>4</v>
      </c>
      <c r="D11" s="13" t="s">
        <v>117</v>
      </c>
      <c r="E11" s="16">
        <v>2</v>
      </c>
      <c r="F11" s="14">
        <f>E11*$D$5</f>
        <v>30</v>
      </c>
      <c r="G11" s="16" t="s">
        <v>118</v>
      </c>
      <c r="H11" s="15">
        <f>E11/SUM($E$8:$E$13)</f>
        <v>0.11764705882352941</v>
      </c>
      <c r="I11" s="16" t="s">
        <v>113</v>
      </c>
      <c r="J11" s="24">
        <v>0</v>
      </c>
      <c r="K11" s="16" t="s">
        <v>114</v>
      </c>
    </row>
    <row r="12" spans="2:11" ht="23.25" customHeight="1" x14ac:dyDescent="0.2">
      <c r="B12" s="4"/>
      <c r="C12" s="16">
        <v>5</v>
      </c>
      <c r="D12" s="13" t="s">
        <v>119</v>
      </c>
      <c r="E12" s="16">
        <v>3</v>
      </c>
      <c r="F12" s="14">
        <f>E12*$D$5</f>
        <v>45</v>
      </c>
      <c r="G12" s="16" t="s">
        <v>118</v>
      </c>
      <c r="H12" s="15">
        <f>E12/SUM($E$8:$E$13)</f>
        <v>0.17647058823529413</v>
      </c>
      <c r="I12" s="16" t="s">
        <v>113</v>
      </c>
      <c r="J12" s="24">
        <v>0</v>
      </c>
      <c r="K12" s="16" t="s">
        <v>114</v>
      </c>
    </row>
    <row r="13" spans="2:11" ht="23.25" customHeight="1" x14ac:dyDescent="0.2">
      <c r="B13" s="4"/>
      <c r="C13" s="16">
        <v>6</v>
      </c>
      <c r="D13" s="13" t="s">
        <v>120</v>
      </c>
      <c r="E13" s="16">
        <v>2</v>
      </c>
      <c r="F13" s="14">
        <f>E13*$D$5</f>
        <v>30</v>
      </c>
      <c r="G13" s="16" t="s">
        <v>118</v>
      </c>
      <c r="H13" s="15">
        <f>E13/SUM($E$8:$E$13)</f>
        <v>0.11764705882352941</v>
      </c>
      <c r="I13" s="16" t="s">
        <v>113</v>
      </c>
      <c r="J13" s="24">
        <v>0</v>
      </c>
      <c r="K13" s="16" t="s">
        <v>114</v>
      </c>
    </row>
    <row r="14" spans="2:11" ht="23.25" customHeight="1" x14ac:dyDescent="0.2">
      <c r="B14" s="4" t="s">
        <v>10</v>
      </c>
      <c r="C14" s="16">
        <v>1</v>
      </c>
      <c r="D14" s="13" t="s">
        <v>121</v>
      </c>
      <c r="E14" s="16">
        <v>3</v>
      </c>
      <c r="F14" s="14">
        <f>E14*$D$5</f>
        <v>45</v>
      </c>
      <c r="G14" s="16" t="s">
        <v>118</v>
      </c>
      <c r="H14" s="15">
        <f>E14/SUM($E$14:$E$20)</f>
        <v>0.1875</v>
      </c>
      <c r="I14" s="16" t="s">
        <v>113</v>
      </c>
      <c r="J14" s="24">
        <v>0</v>
      </c>
      <c r="K14" s="16" t="s">
        <v>114</v>
      </c>
    </row>
    <row r="15" spans="2:11" ht="23.25" customHeight="1" x14ac:dyDescent="0.2">
      <c r="B15" s="4"/>
      <c r="C15" s="16">
        <v>2</v>
      </c>
      <c r="D15" s="13" t="s">
        <v>122</v>
      </c>
      <c r="E15" s="16">
        <v>2</v>
      </c>
      <c r="F15" s="14">
        <f>E15*$D$5</f>
        <v>30</v>
      </c>
      <c r="G15" s="16" t="s">
        <v>123</v>
      </c>
      <c r="H15" s="15">
        <f>E15/SUM($E$14:$E$20)</f>
        <v>0.125</v>
      </c>
      <c r="I15" s="16" t="s">
        <v>113</v>
      </c>
      <c r="J15" s="24">
        <v>0</v>
      </c>
      <c r="K15" s="16" t="s">
        <v>114</v>
      </c>
    </row>
    <row r="16" spans="2:11" ht="15" customHeight="1" x14ac:dyDescent="0.2">
      <c r="B16" s="4"/>
      <c r="C16" s="16">
        <v>3</v>
      </c>
      <c r="D16" s="13" t="s">
        <v>124</v>
      </c>
      <c r="E16" s="16">
        <v>1</v>
      </c>
      <c r="F16" s="14">
        <f>E16*$D$5</f>
        <v>15</v>
      </c>
      <c r="G16" s="16" t="s">
        <v>123</v>
      </c>
      <c r="H16" s="15">
        <f>E16/SUM($E$14:$E$20)</f>
        <v>6.25E-2</v>
      </c>
      <c r="I16" s="16" t="s">
        <v>113</v>
      </c>
      <c r="J16" s="24">
        <v>0</v>
      </c>
      <c r="K16" s="16" t="s">
        <v>114</v>
      </c>
    </row>
    <row r="17" spans="2:11" ht="15" customHeight="1" x14ac:dyDescent="0.2">
      <c r="B17" s="4"/>
      <c r="C17" s="16">
        <v>4</v>
      </c>
      <c r="D17" s="13" t="s">
        <v>125</v>
      </c>
      <c r="E17" s="16">
        <v>1</v>
      </c>
      <c r="F17" s="14">
        <f>E17*$D$5</f>
        <v>15</v>
      </c>
      <c r="G17" s="16" t="s">
        <v>123</v>
      </c>
      <c r="H17" s="15">
        <f>E17/SUM($E$14:$E$20)</f>
        <v>6.25E-2</v>
      </c>
      <c r="I17" s="16" t="s">
        <v>113</v>
      </c>
      <c r="J17" s="24">
        <v>0</v>
      </c>
      <c r="K17" s="16" t="s">
        <v>114</v>
      </c>
    </row>
    <row r="18" spans="2:11" ht="23.25" customHeight="1" x14ac:dyDescent="0.2">
      <c r="B18" s="4"/>
      <c r="C18" s="16">
        <v>5</v>
      </c>
      <c r="D18" s="13" t="s">
        <v>126</v>
      </c>
      <c r="E18" s="16">
        <v>3</v>
      </c>
      <c r="F18" s="14">
        <f>E18*$D$5</f>
        <v>45</v>
      </c>
      <c r="G18" s="16" t="s">
        <v>123</v>
      </c>
      <c r="H18" s="15">
        <f>E18/SUM($E$14:$E$20)</f>
        <v>0.1875</v>
      </c>
      <c r="I18" s="16" t="s">
        <v>113</v>
      </c>
      <c r="J18" s="24">
        <v>0</v>
      </c>
      <c r="K18" s="16" t="s">
        <v>114</v>
      </c>
    </row>
    <row r="19" spans="2:11" ht="15" customHeight="1" x14ac:dyDescent="0.2">
      <c r="B19" s="4"/>
      <c r="C19" s="16">
        <v>6</v>
      </c>
      <c r="D19" s="13" t="s">
        <v>127</v>
      </c>
      <c r="E19" s="16">
        <v>2</v>
      </c>
      <c r="F19" s="14">
        <f>E19*$D$5</f>
        <v>30</v>
      </c>
      <c r="G19" s="16" t="s">
        <v>128</v>
      </c>
      <c r="H19" s="15">
        <f>E19/SUM($E$14:$E$20)</f>
        <v>0.125</v>
      </c>
      <c r="I19" s="16" t="s">
        <v>113</v>
      </c>
      <c r="J19" s="24">
        <v>0</v>
      </c>
      <c r="K19" s="16" t="s">
        <v>114</v>
      </c>
    </row>
    <row r="20" spans="2:11" ht="23.25" customHeight="1" x14ac:dyDescent="0.2">
      <c r="B20" s="4"/>
      <c r="C20" s="16">
        <v>7</v>
      </c>
      <c r="D20" s="13" t="s">
        <v>129</v>
      </c>
      <c r="E20" s="16">
        <v>4</v>
      </c>
      <c r="F20" s="14">
        <f>E20*$D$5</f>
        <v>60</v>
      </c>
      <c r="G20" s="16" t="s">
        <v>128</v>
      </c>
      <c r="H20" s="15">
        <f>E20/SUM($E$14:$E$20)</f>
        <v>0.25</v>
      </c>
      <c r="I20" s="16" t="s">
        <v>113</v>
      </c>
      <c r="J20" s="24">
        <v>0</v>
      </c>
      <c r="K20" s="16" t="s">
        <v>130</v>
      </c>
    </row>
    <row r="21" spans="2:11" ht="15" customHeight="1" x14ac:dyDescent="0.2">
      <c r="B21" s="4" t="s">
        <v>12</v>
      </c>
      <c r="C21" s="16">
        <v>1</v>
      </c>
      <c r="D21" s="13" t="s">
        <v>131</v>
      </c>
      <c r="E21" s="16">
        <v>3</v>
      </c>
      <c r="F21" s="14">
        <f>E21*$D$5</f>
        <v>45</v>
      </c>
      <c r="G21" s="16" t="s">
        <v>123</v>
      </c>
      <c r="H21" s="15">
        <f>E21/SUM($E$21:$E$26)</f>
        <v>0.17647058823529413</v>
      </c>
      <c r="I21" s="16" t="s">
        <v>113</v>
      </c>
      <c r="J21" s="24">
        <v>0</v>
      </c>
      <c r="K21" s="16" t="s">
        <v>114</v>
      </c>
    </row>
    <row r="22" spans="2:11" ht="15" customHeight="1" x14ac:dyDescent="0.2">
      <c r="B22" s="4"/>
      <c r="C22" s="16">
        <v>2</v>
      </c>
      <c r="D22" s="13" t="s">
        <v>132</v>
      </c>
      <c r="E22" s="16">
        <v>3</v>
      </c>
      <c r="F22" s="14">
        <f>E22*$D$5</f>
        <v>45</v>
      </c>
      <c r="G22" s="16" t="s">
        <v>128</v>
      </c>
      <c r="H22" s="15">
        <f>E22/SUM($E$21:$E$26)</f>
        <v>0.17647058823529413</v>
      </c>
      <c r="I22" s="16" t="s">
        <v>113</v>
      </c>
      <c r="J22" s="24">
        <v>0</v>
      </c>
      <c r="K22" s="16" t="s">
        <v>114</v>
      </c>
    </row>
    <row r="23" spans="2:11" ht="15" customHeight="1" x14ac:dyDescent="0.2">
      <c r="B23" s="4"/>
      <c r="C23" s="16">
        <v>3</v>
      </c>
      <c r="D23" s="13" t="s">
        <v>133</v>
      </c>
      <c r="E23" s="16">
        <v>2</v>
      </c>
      <c r="F23" s="14">
        <f>E23*$D$5</f>
        <v>30</v>
      </c>
      <c r="G23" s="16" t="s">
        <v>128</v>
      </c>
      <c r="H23" s="15">
        <f>E23/SUM($E$21:$E$26)</f>
        <v>0.11764705882352941</v>
      </c>
      <c r="I23" s="16" t="s">
        <v>113</v>
      </c>
      <c r="J23" s="24">
        <v>0</v>
      </c>
      <c r="K23" s="16" t="s">
        <v>114</v>
      </c>
    </row>
    <row r="24" spans="2:11" ht="23.25" customHeight="1" x14ac:dyDescent="0.2">
      <c r="B24" s="4"/>
      <c r="C24" s="16">
        <v>4</v>
      </c>
      <c r="D24" s="13" t="s">
        <v>134</v>
      </c>
      <c r="E24" s="16">
        <v>2</v>
      </c>
      <c r="F24" s="14">
        <f>E24*$D$5</f>
        <v>30</v>
      </c>
      <c r="G24" s="16" t="s">
        <v>128</v>
      </c>
      <c r="H24" s="15">
        <f>E24/SUM($E$21:$E$26)</f>
        <v>0.11764705882352941</v>
      </c>
      <c r="I24" s="16" t="s">
        <v>113</v>
      </c>
      <c r="J24" s="24">
        <v>0</v>
      </c>
      <c r="K24" s="16" t="s">
        <v>114</v>
      </c>
    </row>
    <row r="25" spans="2:11" ht="15" customHeight="1" x14ac:dyDescent="0.2">
      <c r="B25" s="4"/>
      <c r="C25" s="16">
        <v>5</v>
      </c>
      <c r="D25" s="13" t="s">
        <v>135</v>
      </c>
      <c r="E25" s="16">
        <v>6</v>
      </c>
      <c r="F25" s="14">
        <f>E25*$D$5</f>
        <v>90</v>
      </c>
      <c r="G25" s="16" t="s">
        <v>136</v>
      </c>
      <c r="H25" s="15">
        <f>E25/SUM($E$21:$E$26)</f>
        <v>0.35294117647058826</v>
      </c>
      <c r="I25" s="16" t="s">
        <v>113</v>
      </c>
      <c r="J25" s="24">
        <v>0</v>
      </c>
      <c r="K25" s="16" t="s">
        <v>114</v>
      </c>
    </row>
    <row r="26" spans="2:11" ht="15" customHeight="1" x14ac:dyDescent="0.2">
      <c r="B26" s="4"/>
      <c r="C26" s="16">
        <v>6</v>
      </c>
      <c r="D26" s="13" t="s">
        <v>137</v>
      </c>
      <c r="E26" s="16">
        <v>1</v>
      </c>
      <c r="F26" s="14">
        <f>E26*$D$5</f>
        <v>15</v>
      </c>
      <c r="G26" s="16" t="s">
        <v>136</v>
      </c>
      <c r="H26" s="15">
        <f>E26/SUM($E$21:$E$26)</f>
        <v>5.8823529411764705E-2</v>
      </c>
      <c r="I26" s="16" t="s">
        <v>113</v>
      </c>
      <c r="J26" s="24">
        <v>0</v>
      </c>
      <c r="K26" s="16" t="s">
        <v>114</v>
      </c>
    </row>
    <row r="27" spans="2:11" ht="23.25" customHeight="1" x14ac:dyDescent="0.2">
      <c r="B27" s="4" t="s">
        <v>13</v>
      </c>
      <c r="C27" s="16">
        <v>1</v>
      </c>
      <c r="D27" s="13" t="s">
        <v>138</v>
      </c>
      <c r="E27" s="16">
        <v>5</v>
      </c>
      <c r="F27" s="14">
        <f>E27*$D$5</f>
        <v>75</v>
      </c>
      <c r="G27" s="16" t="s">
        <v>136</v>
      </c>
      <c r="H27" s="15">
        <f>E27/SUM($E$27:$E$33)</f>
        <v>0.2</v>
      </c>
      <c r="I27" s="16" t="s">
        <v>113</v>
      </c>
      <c r="J27" s="24">
        <v>0</v>
      </c>
      <c r="K27" s="16" t="s">
        <v>114</v>
      </c>
    </row>
    <row r="28" spans="2:11" ht="15" customHeight="1" x14ac:dyDescent="0.2">
      <c r="B28" s="4"/>
      <c r="C28" s="16">
        <v>2</v>
      </c>
      <c r="D28" s="13" t="s">
        <v>139</v>
      </c>
      <c r="E28" s="16">
        <v>4</v>
      </c>
      <c r="F28" s="14">
        <f>E28*$D$5</f>
        <v>60</v>
      </c>
      <c r="G28" s="16" t="s">
        <v>136</v>
      </c>
      <c r="H28" s="15">
        <f>E28/SUM($E$27:$E$33)</f>
        <v>0.16</v>
      </c>
      <c r="I28" s="16" t="s">
        <v>113</v>
      </c>
      <c r="J28" s="24">
        <v>0</v>
      </c>
      <c r="K28" s="16" t="s">
        <v>114</v>
      </c>
    </row>
    <row r="29" spans="2:11" ht="23.25" customHeight="1" x14ac:dyDescent="0.2">
      <c r="B29" s="4"/>
      <c r="C29" s="16">
        <v>3</v>
      </c>
      <c r="D29" s="13" t="s">
        <v>140</v>
      </c>
      <c r="E29" s="16">
        <v>3</v>
      </c>
      <c r="F29" s="14">
        <f>E29*$D$5</f>
        <v>45</v>
      </c>
      <c r="G29" s="16" t="s">
        <v>141</v>
      </c>
      <c r="H29" s="15">
        <f>E29/SUM($E$27:$E$33)</f>
        <v>0.12</v>
      </c>
      <c r="I29" s="16" t="s">
        <v>113</v>
      </c>
      <c r="J29" s="24">
        <v>0</v>
      </c>
      <c r="K29" s="16" t="s">
        <v>114</v>
      </c>
    </row>
    <row r="30" spans="2:11" ht="23.25" customHeight="1" x14ac:dyDescent="0.2">
      <c r="B30" s="4"/>
      <c r="C30" s="16">
        <v>4</v>
      </c>
      <c r="D30" s="13" t="s">
        <v>142</v>
      </c>
      <c r="E30" s="16">
        <v>4</v>
      </c>
      <c r="F30" s="14">
        <f>E30*$D$5</f>
        <v>60</v>
      </c>
      <c r="G30" s="16" t="s">
        <v>141</v>
      </c>
      <c r="H30" s="15">
        <f>E30/SUM($E$27:$E$33)</f>
        <v>0.16</v>
      </c>
      <c r="I30" s="16" t="s">
        <v>113</v>
      </c>
      <c r="J30" s="24">
        <v>0</v>
      </c>
      <c r="K30" s="16" t="s">
        <v>114</v>
      </c>
    </row>
    <row r="31" spans="2:11" ht="15" customHeight="1" x14ac:dyDescent="0.2">
      <c r="B31" s="4"/>
      <c r="C31" s="16">
        <v>5</v>
      </c>
      <c r="D31" s="13" t="s">
        <v>143</v>
      </c>
      <c r="E31" s="16">
        <v>2</v>
      </c>
      <c r="F31" s="14">
        <f>E31*$D$5</f>
        <v>30</v>
      </c>
      <c r="G31" s="16" t="s">
        <v>141</v>
      </c>
      <c r="H31" s="15">
        <f>E31/SUM($E$27:$E$33)</f>
        <v>0.08</v>
      </c>
      <c r="I31" s="16" t="s">
        <v>113</v>
      </c>
      <c r="J31" s="24">
        <v>0</v>
      </c>
      <c r="K31" s="16" t="s">
        <v>114</v>
      </c>
    </row>
    <row r="32" spans="2:11" ht="23.25" customHeight="1" x14ac:dyDescent="0.2">
      <c r="B32" s="4"/>
      <c r="C32" s="16">
        <v>6</v>
      </c>
      <c r="D32" s="13" t="s">
        <v>144</v>
      </c>
      <c r="E32" s="16">
        <v>4</v>
      </c>
      <c r="F32" s="14">
        <f>E32*$D$5</f>
        <v>60</v>
      </c>
      <c r="G32" s="16" t="s">
        <v>145</v>
      </c>
      <c r="H32" s="15">
        <f>E32/SUM($E$27:$E$33)</f>
        <v>0.16</v>
      </c>
      <c r="I32" s="16" t="s">
        <v>113</v>
      </c>
      <c r="J32" s="24">
        <v>0</v>
      </c>
      <c r="K32" s="16" t="s">
        <v>114</v>
      </c>
    </row>
    <row r="33" spans="2:11" ht="15" customHeight="1" x14ac:dyDescent="0.2">
      <c r="B33" s="4"/>
      <c r="C33" s="16">
        <v>7</v>
      </c>
      <c r="D33" s="13" t="s">
        <v>146</v>
      </c>
      <c r="E33" s="16">
        <v>3</v>
      </c>
      <c r="F33" s="14">
        <f>E33*$D$5</f>
        <v>45</v>
      </c>
      <c r="G33" s="16" t="s">
        <v>145</v>
      </c>
      <c r="H33" s="15">
        <f>E33/SUM($E$27:$E$33)</f>
        <v>0.12</v>
      </c>
      <c r="I33" s="16" t="s">
        <v>113</v>
      </c>
      <c r="J33" s="24">
        <v>0</v>
      </c>
      <c r="K33" s="16" t="s">
        <v>114</v>
      </c>
    </row>
    <row r="34" spans="2:11" ht="15" customHeight="1" x14ac:dyDescent="0.2">
      <c r="B34" s="4" t="s">
        <v>15</v>
      </c>
      <c r="C34" s="16">
        <v>1</v>
      </c>
      <c r="D34" s="13" t="s">
        <v>147</v>
      </c>
      <c r="E34" s="16">
        <v>4</v>
      </c>
      <c r="F34" s="14">
        <f>E34*$D$5</f>
        <v>60</v>
      </c>
      <c r="G34" s="16" t="s">
        <v>141</v>
      </c>
      <c r="H34" s="15">
        <f>E34/SUM($E$34:$E$39)</f>
        <v>0.13793103448275862</v>
      </c>
      <c r="I34" s="16" t="s">
        <v>113</v>
      </c>
      <c r="J34" s="24">
        <v>0</v>
      </c>
      <c r="K34" s="16" t="s">
        <v>114</v>
      </c>
    </row>
    <row r="35" spans="2:11" ht="23.25" customHeight="1" x14ac:dyDescent="0.2">
      <c r="B35" s="4"/>
      <c r="C35" s="16">
        <v>2</v>
      </c>
      <c r="D35" s="13" t="s">
        <v>148</v>
      </c>
      <c r="E35" s="16">
        <v>2</v>
      </c>
      <c r="F35" s="14">
        <f>E35*$D$5</f>
        <v>30</v>
      </c>
      <c r="G35" s="16" t="s">
        <v>141</v>
      </c>
      <c r="H35" s="15">
        <f>E35/SUM($E$34:$E$39)</f>
        <v>6.8965517241379309E-2</v>
      </c>
      <c r="I35" s="16" t="s">
        <v>113</v>
      </c>
      <c r="J35" s="24">
        <v>0</v>
      </c>
      <c r="K35" s="16" t="s">
        <v>114</v>
      </c>
    </row>
    <row r="36" spans="2:11" ht="23.25" customHeight="1" x14ac:dyDescent="0.2">
      <c r="B36" s="4"/>
      <c r="C36" s="16">
        <v>3</v>
      </c>
      <c r="D36" s="13" t="s">
        <v>149</v>
      </c>
      <c r="E36" s="16">
        <v>8</v>
      </c>
      <c r="F36" s="14">
        <f>E36*$D$5</f>
        <v>120</v>
      </c>
      <c r="G36" s="16" t="s">
        <v>145</v>
      </c>
      <c r="H36" s="15">
        <f>E36/SUM($E$34:$E$39)</f>
        <v>0.27586206896551724</v>
      </c>
      <c r="I36" s="16" t="s">
        <v>113</v>
      </c>
      <c r="J36" s="24">
        <v>0</v>
      </c>
      <c r="K36" s="16" t="s">
        <v>114</v>
      </c>
    </row>
    <row r="37" spans="2:11" ht="15" customHeight="1" x14ac:dyDescent="0.2">
      <c r="B37" s="4"/>
      <c r="C37" s="16">
        <v>4</v>
      </c>
      <c r="D37" s="13" t="s">
        <v>150</v>
      </c>
      <c r="E37" s="16">
        <v>5</v>
      </c>
      <c r="F37" s="14">
        <f>E37*$D$5</f>
        <v>75</v>
      </c>
      <c r="G37" s="16" t="s">
        <v>145</v>
      </c>
      <c r="H37" s="15">
        <f>E37/SUM($E$34:$E$39)</f>
        <v>0.17241379310344829</v>
      </c>
      <c r="I37" s="16" t="s">
        <v>113</v>
      </c>
      <c r="J37" s="24">
        <v>0</v>
      </c>
      <c r="K37" s="16" t="s">
        <v>114</v>
      </c>
    </row>
    <row r="38" spans="2:11" ht="15" customHeight="1" x14ac:dyDescent="0.2">
      <c r="B38" s="4"/>
      <c r="C38" s="16">
        <v>5</v>
      </c>
      <c r="D38" s="13" t="s">
        <v>151</v>
      </c>
      <c r="E38" s="16">
        <v>6</v>
      </c>
      <c r="F38" s="14">
        <f>E38*$D$5</f>
        <v>90</v>
      </c>
      <c r="G38" s="16" t="s">
        <v>152</v>
      </c>
      <c r="H38" s="15">
        <f>E38/SUM($E$34:$E$39)</f>
        <v>0.20689655172413793</v>
      </c>
      <c r="I38" s="16" t="s">
        <v>113</v>
      </c>
      <c r="J38" s="24">
        <v>0</v>
      </c>
      <c r="K38" s="16" t="s">
        <v>114</v>
      </c>
    </row>
    <row r="39" spans="2:11" ht="23.25" customHeight="1" x14ac:dyDescent="0.2">
      <c r="B39" s="4"/>
      <c r="C39" s="16">
        <v>6</v>
      </c>
      <c r="D39" s="13" t="s">
        <v>153</v>
      </c>
      <c r="E39" s="16">
        <v>4</v>
      </c>
      <c r="F39" s="14">
        <f>E39*$D$5</f>
        <v>60</v>
      </c>
      <c r="G39" s="16" t="s">
        <v>152</v>
      </c>
      <c r="H39" s="15">
        <f>E39/SUM($E$34:$E$39)</f>
        <v>0.13793103448275862</v>
      </c>
      <c r="I39" s="16" t="s">
        <v>113</v>
      </c>
      <c r="J39" s="24">
        <v>0</v>
      </c>
      <c r="K39" s="16" t="s">
        <v>114</v>
      </c>
    </row>
    <row r="40" spans="2:11" ht="23.25" customHeight="1" x14ac:dyDescent="0.2">
      <c r="B40" s="4" t="s">
        <v>154</v>
      </c>
      <c r="C40" s="16">
        <v>1</v>
      </c>
      <c r="D40" s="13" t="s">
        <v>155</v>
      </c>
      <c r="E40" s="16">
        <v>3</v>
      </c>
      <c r="F40" s="14">
        <f>E40*$D$5</f>
        <v>45</v>
      </c>
      <c r="G40" s="16" t="s">
        <v>152</v>
      </c>
      <c r="H40" s="15">
        <f>E40/SUM($E$40:$E$42)</f>
        <v>0.42857142857142855</v>
      </c>
      <c r="I40" s="16" t="s">
        <v>113</v>
      </c>
      <c r="J40" s="24">
        <v>0</v>
      </c>
      <c r="K40" s="16" t="s">
        <v>114</v>
      </c>
    </row>
    <row r="41" spans="2:11" ht="23.25" customHeight="1" x14ac:dyDescent="0.2">
      <c r="B41" s="4"/>
      <c r="C41" s="16">
        <v>2</v>
      </c>
      <c r="D41" s="13" t="s">
        <v>156</v>
      </c>
      <c r="E41" s="16">
        <v>3</v>
      </c>
      <c r="F41" s="14">
        <f>E41*$D$5</f>
        <v>45</v>
      </c>
      <c r="G41" s="16" t="s">
        <v>152</v>
      </c>
      <c r="H41" s="15">
        <f>E41/SUM($E$40:$E$42)</f>
        <v>0.42857142857142855</v>
      </c>
      <c r="I41" s="16" t="s">
        <v>113</v>
      </c>
      <c r="J41" s="24">
        <v>0</v>
      </c>
      <c r="K41" s="16" t="s">
        <v>114</v>
      </c>
    </row>
    <row r="42" spans="2:11" ht="23.25" customHeight="1" x14ac:dyDescent="0.2">
      <c r="B42" s="4"/>
      <c r="C42" s="16">
        <v>3</v>
      </c>
      <c r="D42" s="13" t="s">
        <v>157</v>
      </c>
      <c r="E42" s="16">
        <v>1</v>
      </c>
      <c r="F42" s="14">
        <f>E42*$D$5</f>
        <v>15</v>
      </c>
      <c r="G42" s="16" t="s">
        <v>152</v>
      </c>
      <c r="H42" s="15">
        <f>E42/SUM($E$40:$E$42)</f>
        <v>0.14285714285714285</v>
      </c>
      <c r="I42" s="16" t="s">
        <v>113</v>
      </c>
      <c r="J42" s="24">
        <v>0</v>
      </c>
      <c r="K42" s="16" t="s">
        <v>114</v>
      </c>
    </row>
    <row r="43" spans="2:11" ht="15" customHeight="1" x14ac:dyDescent="0.2">
      <c r="B43" s="20"/>
      <c r="C43" s="20"/>
      <c r="D43" s="17" t="s">
        <v>158</v>
      </c>
      <c r="E43" s="17">
        <f>SUM(E8:E42)</f>
        <v>111</v>
      </c>
      <c r="F43" s="18">
        <f>SUM(F8:F42)</f>
        <v>1665</v>
      </c>
      <c r="G43" s="20"/>
      <c r="H43" s="20"/>
      <c r="I43" s="20"/>
      <c r="J43" s="20"/>
      <c r="K43" s="20"/>
    </row>
    <row r="45" spans="2:11" ht="27.75" customHeight="1" x14ac:dyDescent="0.2">
      <c r="B45" s="3" t="s">
        <v>159</v>
      </c>
      <c r="C45" s="3"/>
      <c r="D45" s="3"/>
      <c r="E45" s="3"/>
      <c r="F45" s="3"/>
      <c r="G45" s="3"/>
      <c r="H45" s="3"/>
      <c r="I45" s="3"/>
      <c r="J45" s="3"/>
      <c r="K45" s="3"/>
    </row>
  </sheetData>
  <mergeCells count="7">
    <mergeCell ref="B40:B42"/>
    <mergeCell ref="B45:K45"/>
    <mergeCell ref="B8:B13"/>
    <mergeCell ref="B14:B20"/>
    <mergeCell ref="B21:B26"/>
    <mergeCell ref="B27:B33"/>
    <mergeCell ref="B34:B39"/>
  </mergeCells>
  <dataValidations count="1">
    <dataValidation type="list" allowBlank="1" sqref="I8:I42" xr:uid="{00000000-0002-0000-0200-000000000000}">
      <formula1>"No iniciado,En progreso,Bloqueado,Completado"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7"/>
  <sheetViews>
    <sheetView showGridLines="0" zoomScaleNormal="100" workbookViewId="0">
      <selection activeCell="H26" sqref="H26"/>
    </sheetView>
  </sheetViews>
  <sheetFormatPr defaultColWidth="8.7421875" defaultRowHeight="15" x14ac:dyDescent="0.2"/>
  <cols>
    <col min="1" max="1" width="2.015625" style="8" customWidth="1"/>
    <col min="2" max="2" width="16.0078125" style="8" customWidth="1"/>
    <col min="3" max="3" width="46.00390625" style="8" customWidth="1"/>
    <col min="4" max="4" width="9.953125" style="8" customWidth="1"/>
    <col min="5" max="5" width="9.01171875" style="8" customWidth="1"/>
    <col min="6" max="6" width="7.93359375" style="8" customWidth="1"/>
    <col min="7" max="7" width="9.953125" style="8" customWidth="1"/>
    <col min="8" max="8" width="43.98828125" style="8" customWidth="1"/>
    <col min="9" max="9" width="13.98828125" style="8" customWidth="1"/>
  </cols>
  <sheetData>
    <row r="2" spans="2:9" ht="19.5" customHeight="1" x14ac:dyDescent="0.25">
      <c r="B2" s="9" t="s">
        <v>160</v>
      </c>
    </row>
    <row r="3" spans="2:9" ht="15" customHeight="1" x14ac:dyDescent="0.2">
      <c r="B3" s="10" t="s">
        <v>161</v>
      </c>
    </row>
    <row r="5" spans="2:9" ht="26.25" customHeight="1" x14ac:dyDescent="0.2">
      <c r="B5" s="12" t="s">
        <v>162</v>
      </c>
      <c r="C5" s="12" t="s">
        <v>163</v>
      </c>
      <c r="D5" s="12" t="s">
        <v>164</v>
      </c>
      <c r="E5" s="12" t="s">
        <v>165</v>
      </c>
      <c r="F5" s="12" t="s">
        <v>166</v>
      </c>
      <c r="G5" s="12" t="s">
        <v>167</v>
      </c>
      <c r="H5" s="12" t="s">
        <v>168</v>
      </c>
      <c r="I5" s="12" t="s">
        <v>110</v>
      </c>
    </row>
    <row r="6" spans="2:9" ht="54.75" customHeight="1" x14ac:dyDescent="0.2">
      <c r="B6" s="16" t="s">
        <v>169</v>
      </c>
      <c r="C6" s="13" t="s">
        <v>228</v>
      </c>
      <c r="D6" s="16">
        <v>4</v>
      </c>
      <c r="E6" s="16">
        <v>5</v>
      </c>
      <c r="F6" s="25">
        <f>D6*E6</f>
        <v>20</v>
      </c>
      <c r="G6" s="16" t="str">
        <f>IF(F6&gt;=15,"Crítico",IF(F6&gt;=9,"Alto",IF(F6&gt;=4,"Medio","Bajo")))</f>
        <v>Crítico</v>
      </c>
      <c r="H6" s="13" t="s">
        <v>229</v>
      </c>
      <c r="I6" s="16" t="s">
        <v>114</v>
      </c>
    </row>
    <row r="7" spans="2:9" ht="43.5" customHeight="1" x14ac:dyDescent="0.2">
      <c r="B7" s="16" t="s">
        <v>169</v>
      </c>
      <c r="C7" s="13" t="s">
        <v>170</v>
      </c>
      <c r="D7" s="16">
        <v>3</v>
      </c>
      <c r="E7" s="16">
        <v>4</v>
      </c>
      <c r="F7" s="25">
        <f>D7*E7</f>
        <v>12</v>
      </c>
      <c r="G7" s="16" t="str">
        <f>IF(F7&gt;=15,"Crítico",IF(F7&gt;=9,"Alto",IF(F7&gt;=4,"Medio","Bajo")))</f>
        <v>Alto</v>
      </c>
      <c r="H7" s="13" t="s">
        <v>171</v>
      </c>
      <c r="I7" s="16" t="s">
        <v>114</v>
      </c>
    </row>
    <row r="8" spans="2:9" ht="34.5" customHeight="1" x14ac:dyDescent="0.2">
      <c r="B8" s="16" t="s">
        <v>172</v>
      </c>
      <c r="C8" s="13" t="s">
        <v>173</v>
      </c>
      <c r="D8" s="16">
        <v>3</v>
      </c>
      <c r="E8" s="16">
        <v>5</v>
      </c>
      <c r="F8" s="25">
        <f>D8*E8</f>
        <v>15</v>
      </c>
      <c r="G8" s="16" t="str">
        <f>IF(F8&gt;=15,"Crítico",IF(F8&gt;=9,"Alto",IF(F8&gt;=4,"Medio","Bajo")))</f>
        <v>Crítico</v>
      </c>
      <c r="H8" s="13" t="s">
        <v>174</v>
      </c>
      <c r="I8" s="16" t="s">
        <v>114</v>
      </c>
    </row>
    <row r="9" spans="2:9" ht="34.5" customHeight="1" x14ac:dyDescent="0.2">
      <c r="B9" s="16" t="s">
        <v>175</v>
      </c>
      <c r="C9" s="13" t="s">
        <v>176</v>
      </c>
      <c r="D9" s="16">
        <v>3</v>
      </c>
      <c r="E9" s="16">
        <v>3</v>
      </c>
      <c r="F9" s="25">
        <f>D9*E9</f>
        <v>9</v>
      </c>
      <c r="G9" s="16" t="str">
        <f>IF(F9&gt;=15,"Crítico",IF(F9&gt;=9,"Alto",IF(F9&gt;=4,"Medio","Bajo")))</f>
        <v>Alto</v>
      </c>
      <c r="H9" s="13" t="s">
        <v>177</v>
      </c>
      <c r="I9" s="16" t="s">
        <v>114</v>
      </c>
    </row>
    <row r="10" spans="2:9" ht="23.25" customHeight="1" x14ac:dyDescent="0.2">
      <c r="B10" s="16" t="s">
        <v>178</v>
      </c>
      <c r="C10" s="13" t="s">
        <v>179</v>
      </c>
      <c r="D10" s="16">
        <v>3</v>
      </c>
      <c r="E10" s="16">
        <v>3</v>
      </c>
      <c r="F10" s="25">
        <f>D10*E10</f>
        <v>9</v>
      </c>
      <c r="G10" s="16" t="str">
        <f>IF(F10&gt;=15,"Crítico",IF(F10&gt;=9,"Alto",IF(F10&gt;=4,"Medio","Bajo")))</f>
        <v>Alto</v>
      </c>
      <c r="H10" s="13" t="s">
        <v>180</v>
      </c>
      <c r="I10" s="16" t="s">
        <v>114</v>
      </c>
    </row>
    <row r="11" spans="2:9" ht="34.5" customHeight="1" x14ac:dyDescent="0.2">
      <c r="B11" s="16" t="s">
        <v>181</v>
      </c>
      <c r="C11" s="13" t="s">
        <v>182</v>
      </c>
      <c r="D11" s="16">
        <v>3</v>
      </c>
      <c r="E11" s="16">
        <v>4</v>
      </c>
      <c r="F11" s="25">
        <f>D11*E11</f>
        <v>12</v>
      </c>
      <c r="G11" s="16" t="str">
        <f>IF(F11&gt;=15,"Crítico",IF(F11&gt;=9,"Alto",IF(F11&gt;=4,"Medio","Bajo")))</f>
        <v>Alto</v>
      </c>
      <c r="H11" s="13" t="s">
        <v>231</v>
      </c>
      <c r="I11" s="16" t="s">
        <v>114</v>
      </c>
    </row>
    <row r="12" spans="2:9" ht="34.5" customHeight="1" x14ac:dyDescent="0.2">
      <c r="B12" s="16" t="s">
        <v>181</v>
      </c>
      <c r="C12" s="13" t="s">
        <v>183</v>
      </c>
      <c r="D12" s="16">
        <v>3</v>
      </c>
      <c r="E12" s="16">
        <v>3</v>
      </c>
      <c r="F12" s="25">
        <f>D12*E12</f>
        <v>9</v>
      </c>
      <c r="G12" s="16" t="str">
        <f>IF(F12&gt;=15,"Crítico",IF(F12&gt;=9,"Alto",IF(F12&gt;=4,"Medio","Bajo")))</f>
        <v>Alto</v>
      </c>
      <c r="H12" s="13" t="s">
        <v>184</v>
      </c>
      <c r="I12" s="16" t="s">
        <v>114</v>
      </c>
    </row>
    <row r="13" spans="2:9" ht="34.5" customHeight="1" x14ac:dyDescent="0.2">
      <c r="B13" s="16" t="s">
        <v>185</v>
      </c>
      <c r="C13" s="13" t="s">
        <v>186</v>
      </c>
      <c r="D13" s="16">
        <v>3</v>
      </c>
      <c r="E13" s="16">
        <v>5</v>
      </c>
      <c r="F13" s="25">
        <f>D13*E13</f>
        <v>15</v>
      </c>
      <c r="G13" s="16" t="str">
        <f>IF(F13&gt;=15,"Crítico",IF(F13&gt;=9,"Alto",IF(F13&gt;=4,"Medio","Bajo")))</f>
        <v>Crítico</v>
      </c>
      <c r="H13" s="13" t="s">
        <v>187</v>
      </c>
      <c r="I13" s="16" t="s">
        <v>114</v>
      </c>
    </row>
    <row r="14" spans="2:9" ht="45.75" customHeight="1" x14ac:dyDescent="0.2">
      <c r="B14" s="16" t="s">
        <v>185</v>
      </c>
      <c r="C14" s="13" t="s">
        <v>188</v>
      </c>
      <c r="D14" s="16">
        <v>4</v>
      </c>
      <c r="E14" s="16">
        <v>5</v>
      </c>
      <c r="F14" s="25">
        <f>D14*E14</f>
        <v>20</v>
      </c>
      <c r="G14" s="16" t="str">
        <f>IF(F14&gt;=15,"Crítico",IF(F14&gt;=9,"Alto",IF(F14&gt;=4,"Medio","Bajo")))</f>
        <v>Crítico</v>
      </c>
      <c r="H14" s="13" t="s">
        <v>189</v>
      </c>
      <c r="I14" s="16" t="s">
        <v>114</v>
      </c>
    </row>
    <row r="15" spans="2:9" ht="45.75" customHeight="1" x14ac:dyDescent="0.2">
      <c r="B15" s="16" t="s">
        <v>169</v>
      </c>
      <c r="C15" s="13" t="s">
        <v>190</v>
      </c>
      <c r="D15" s="16">
        <v>2</v>
      </c>
      <c r="E15" s="16">
        <v>5</v>
      </c>
      <c r="F15" s="25">
        <f>D15*E15</f>
        <v>10</v>
      </c>
      <c r="G15" s="16" t="str">
        <f>IF(F15&gt;=15,"Crítico",IF(F15&gt;=9,"Alto",IF(F15&gt;=4,"Medio","Bajo")))</f>
        <v>Alto</v>
      </c>
      <c r="H15" s="13" t="s">
        <v>191</v>
      </c>
      <c r="I15" s="16" t="s">
        <v>114</v>
      </c>
    </row>
    <row r="16" spans="2:9" ht="34.5" customHeight="1" x14ac:dyDescent="0.2">
      <c r="B16" s="16" t="s">
        <v>169</v>
      </c>
      <c r="C16" s="13" t="s">
        <v>192</v>
      </c>
      <c r="D16" s="16">
        <v>4</v>
      </c>
      <c r="E16" s="16">
        <v>3</v>
      </c>
      <c r="F16" s="25">
        <f>D16*E16</f>
        <v>12</v>
      </c>
      <c r="G16" s="16" t="str">
        <f>IF(F16&gt;=15,"Crítico",IF(F16&gt;=9,"Alto",IF(F16&gt;=4,"Medio","Bajo")))</f>
        <v>Alto</v>
      </c>
      <c r="H16" s="13" t="s">
        <v>193</v>
      </c>
      <c r="I16" s="16" t="s">
        <v>114</v>
      </c>
    </row>
    <row r="17" spans="2:9" ht="34.5" customHeight="1" x14ac:dyDescent="0.2">
      <c r="B17" s="16" t="s">
        <v>169</v>
      </c>
      <c r="C17" s="13" t="s">
        <v>194</v>
      </c>
      <c r="D17" s="16">
        <v>5</v>
      </c>
      <c r="E17" s="16">
        <v>2</v>
      </c>
      <c r="F17" s="25">
        <f>D17*E17</f>
        <v>10</v>
      </c>
      <c r="G17" s="16" t="str">
        <f>IF(F17&gt;=15,"Crítico",IF(F17&gt;=9,"Alto",IF(F17&gt;=4,"Medio","Bajo")))</f>
        <v>Alto</v>
      </c>
      <c r="H17" s="13" t="s">
        <v>195</v>
      </c>
      <c r="I17" s="16" t="s">
        <v>114</v>
      </c>
    </row>
  </sheetData>
  <conditionalFormatting sqref="F6:F17">
    <cfRule type="cellIs" dxfId="2" priority="2" operator="greaterThanOrEqual">
      <formula>15</formula>
    </cfRule>
    <cfRule type="cellIs" dxfId="1" priority="3" operator="between">
      <formula>9</formula>
      <formula>14</formula>
    </cfRule>
    <cfRule type="cellIs" dxfId="0" priority="4" operator="lessThanOrEqual">
      <formula>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9"/>
  <sheetViews>
    <sheetView showGridLines="0" tabSelected="1" topLeftCell="A4" zoomScaleNormal="100" workbookViewId="0">
      <selection activeCell="D5" sqref="D1:D1048576"/>
    </sheetView>
  </sheetViews>
  <sheetFormatPr defaultColWidth="8.7421875" defaultRowHeight="15" x14ac:dyDescent="0.2"/>
  <cols>
    <col min="1" max="1" width="2.015625" style="8" customWidth="1"/>
    <col min="2" max="2" width="34.03125" style="8" customWidth="1"/>
    <col min="3" max="3" width="39.953125" style="8" customWidth="1"/>
    <col min="4" max="4" width="34.03125" style="8" customWidth="1"/>
    <col min="5" max="5" width="29.99609375" style="8" customWidth="1"/>
  </cols>
  <sheetData>
    <row r="2" spans="2:5" ht="19.5" customHeight="1" x14ac:dyDescent="0.25">
      <c r="B2" s="9" t="s">
        <v>196</v>
      </c>
    </row>
    <row r="3" spans="2:5" ht="15" customHeight="1" x14ac:dyDescent="0.2">
      <c r="B3" s="10" t="s">
        <v>197</v>
      </c>
    </row>
    <row r="5" spans="2:5" ht="15" customHeight="1" x14ac:dyDescent="0.2">
      <c r="B5" s="12" t="s">
        <v>198</v>
      </c>
      <c r="C5" s="12" t="s">
        <v>199</v>
      </c>
      <c r="D5" s="12" t="s">
        <v>200</v>
      </c>
      <c r="E5" s="12" t="s">
        <v>201</v>
      </c>
    </row>
    <row r="6" spans="2:5" ht="96" customHeight="1" x14ac:dyDescent="0.2">
      <c r="B6" s="13" t="s">
        <v>202</v>
      </c>
      <c r="C6" s="13" t="s">
        <v>203</v>
      </c>
      <c r="D6" s="13" t="s">
        <v>204</v>
      </c>
      <c r="E6" s="13" t="s">
        <v>234</v>
      </c>
    </row>
    <row r="7" spans="2:5" ht="72" customHeight="1" x14ac:dyDescent="0.2">
      <c r="B7" s="13" t="s">
        <v>205</v>
      </c>
      <c r="C7" s="13" t="s">
        <v>230</v>
      </c>
      <c r="D7" s="13" t="s">
        <v>206</v>
      </c>
      <c r="E7" s="13" t="s">
        <v>207</v>
      </c>
    </row>
    <row r="8" spans="2:5" ht="78" customHeight="1" x14ac:dyDescent="0.2">
      <c r="B8" s="13" t="s">
        <v>208</v>
      </c>
      <c r="C8" s="13" t="s">
        <v>209</v>
      </c>
      <c r="D8" s="13" t="s">
        <v>210</v>
      </c>
      <c r="E8" s="13" t="s">
        <v>211</v>
      </c>
    </row>
    <row r="9" spans="2:5" ht="60" customHeight="1" x14ac:dyDescent="0.2">
      <c r="B9" s="13" t="s">
        <v>212</v>
      </c>
      <c r="C9" s="13" t="s">
        <v>237</v>
      </c>
      <c r="D9" s="13" t="s">
        <v>213</v>
      </c>
      <c r="E9" s="13" t="s">
        <v>214</v>
      </c>
    </row>
    <row r="10" spans="2:5" ht="72" customHeight="1" x14ac:dyDescent="0.2">
      <c r="B10" s="13" t="s">
        <v>233</v>
      </c>
      <c r="C10" s="13" t="s">
        <v>215</v>
      </c>
      <c r="D10" s="13" t="s">
        <v>216</v>
      </c>
      <c r="E10" s="13" t="s">
        <v>217</v>
      </c>
    </row>
    <row r="11" spans="2:5" ht="45.75" customHeight="1" x14ac:dyDescent="0.2">
      <c r="B11" s="13" t="s">
        <v>218</v>
      </c>
      <c r="C11" s="13" t="s">
        <v>219</v>
      </c>
      <c r="D11" s="13" t="s">
        <v>220</v>
      </c>
      <c r="E11" s="13" t="s">
        <v>235</v>
      </c>
    </row>
    <row r="13" spans="2:5" ht="15" customHeight="1" x14ac:dyDescent="0.2">
      <c r="B13" s="2" t="s">
        <v>221</v>
      </c>
      <c r="C13" s="2"/>
      <c r="D13" s="2"/>
      <c r="E13" s="2"/>
    </row>
    <row r="14" spans="2:5" ht="18" customHeight="1" x14ac:dyDescent="0.2">
      <c r="B14" s="1" t="s">
        <v>222</v>
      </c>
      <c r="C14" s="1"/>
      <c r="D14" s="1"/>
      <c r="E14" s="1"/>
    </row>
    <row r="15" spans="2:5" ht="18" customHeight="1" x14ac:dyDescent="0.2">
      <c r="B15" s="1" t="s">
        <v>223</v>
      </c>
      <c r="C15" s="1"/>
      <c r="D15" s="1"/>
      <c r="E15" s="1"/>
    </row>
    <row r="16" spans="2:5" ht="18" customHeight="1" x14ac:dyDescent="0.2">
      <c r="B16" s="1" t="s">
        <v>224</v>
      </c>
      <c r="C16" s="1"/>
      <c r="D16" s="1"/>
      <c r="E16" s="1"/>
    </row>
    <row r="17" spans="2:5" ht="18" customHeight="1" x14ac:dyDescent="0.2">
      <c r="B17" s="1" t="s">
        <v>225</v>
      </c>
      <c r="C17" s="1"/>
      <c r="D17" s="1"/>
      <c r="E17" s="1"/>
    </row>
    <row r="18" spans="2:5" ht="18" customHeight="1" x14ac:dyDescent="0.2">
      <c r="B18" s="1" t="s">
        <v>226</v>
      </c>
      <c r="C18" s="1"/>
      <c r="D18" s="1"/>
      <c r="E18" s="1"/>
    </row>
    <row r="19" spans="2:5" ht="18" customHeight="1" x14ac:dyDescent="0.2">
      <c r="B19" s="1" t="s">
        <v>227</v>
      </c>
      <c r="C19" s="1"/>
      <c r="D19" s="1"/>
      <c r="E19" s="1"/>
    </row>
  </sheetData>
  <mergeCells count="7">
    <mergeCell ref="B18:E18"/>
    <mergeCell ref="B19:E19"/>
    <mergeCell ref="B13:E13"/>
    <mergeCell ref="B14:E14"/>
    <mergeCell ref="B15:E15"/>
    <mergeCell ref="B16:E16"/>
    <mergeCell ref="B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Ejecutivo</vt:lpstr>
      <vt:lpstr>Presupuesto Detallado</vt:lpstr>
      <vt:lpstr>Plan por Etapas</vt:lpstr>
      <vt:lpstr>Riesgos</vt:lpstr>
      <vt:lpstr>Rutas de 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2026-08-09T17:30:23Z</dcterms:created>
  <dcterms:modified xsi:type="dcterms:W3CDTF">2026-08-09T17:34:57Z</dcterms:modified>
  <dc:language>en-US</dc:language>
</cp:coreProperties>
</file>